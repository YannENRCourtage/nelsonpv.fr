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tilisateur\Documents\ENR COURTAGE\BARCONNIERE\"/>
    </mc:Choice>
  </mc:AlternateContent>
  <xr:revisionPtr revIDLastSave="0" documentId="13_ncr:1_{A13E9243-6B1A-4282-B461-630F897A524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BARCONNIERE" sheetId="1" r:id="rId1"/>
    <sheet name="ACAMA" sheetId="2" r:id="rId2"/>
  </sheets>
  <definedNames>
    <definedName name="_xlnm.Print_Area" localSheetId="0">BARCONNIERE!$A$1:$P$225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" i="1" l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" i="1"/>
  <c r="P274" i="1"/>
  <c r="P273" i="1"/>
  <c r="P272" i="1"/>
  <c r="P271" i="1"/>
  <c r="P270" i="1"/>
  <c r="P269" i="1"/>
  <c r="P268" i="1"/>
  <c r="P267" i="1"/>
  <c r="P266" i="1"/>
  <c r="P265" i="1"/>
  <c r="P264" i="1"/>
  <c r="P263" i="1"/>
  <c r="P262" i="1"/>
  <c r="P261" i="1"/>
  <c r="P260" i="1"/>
  <c r="P259" i="1"/>
  <c r="P258" i="1"/>
  <c r="P257" i="1"/>
  <c r="P256" i="1"/>
  <c r="P255" i="1"/>
  <c r="P254" i="1"/>
  <c r="P253" i="1"/>
  <c r="P252" i="1"/>
  <c r="P251" i="1"/>
  <c r="P250" i="1"/>
  <c r="P249" i="1"/>
  <c r="P248" i="1"/>
  <c r="P247" i="1"/>
  <c r="P246" i="1"/>
  <c r="P245" i="1"/>
  <c r="P244" i="1"/>
  <c r="P243" i="1"/>
  <c r="P242" i="1"/>
  <c r="P241" i="1"/>
  <c r="P240" i="1"/>
  <c r="P239" i="1"/>
  <c r="P238" i="1"/>
  <c r="P237" i="1"/>
  <c r="P236" i="1"/>
  <c r="P235" i="1"/>
  <c r="P234" i="1"/>
  <c r="P233" i="1"/>
  <c r="P232" i="1"/>
  <c r="P231" i="1"/>
  <c r="P230" i="1"/>
  <c r="P229" i="1"/>
  <c r="P228" i="1"/>
  <c r="P227" i="1"/>
  <c r="P226" i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2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" i="1"/>
</calcChain>
</file>

<file path=xl/sharedStrings.xml><?xml version="1.0" encoding="utf-8"?>
<sst xmlns="http://schemas.openxmlformats.org/spreadsheetml/2006/main" count="1900" uniqueCount="424">
  <si>
    <t>Gamme</t>
  </si>
  <si>
    <t>#</t>
  </si>
  <si>
    <t>Longueur</t>
  </si>
  <si>
    <t>Largeur</t>
  </si>
  <si>
    <t>Surface</t>
  </si>
  <si>
    <t>Poteau</t>
  </si>
  <si>
    <t>Sablière</t>
  </si>
  <si>
    <t>Faitage</t>
  </si>
  <si>
    <t>Travées</t>
  </si>
  <si>
    <t>Auvent Sud</t>
  </si>
  <si>
    <t>Auvent Nord</t>
  </si>
  <si>
    <t>Option Ap/Au</t>
  </si>
  <si>
    <t>Puissance</t>
  </si>
  <si>
    <t>Tarif sans PV (€)</t>
  </si>
  <si>
    <t>ORION 16</t>
  </si>
  <si>
    <t>ORION 20</t>
  </si>
  <si>
    <t>CYRUS 25</t>
  </si>
  <si>
    <t>CYRUS 29</t>
  </si>
  <si>
    <t>KEREN 24</t>
  </si>
  <si>
    <t>KEREN 28</t>
  </si>
  <si>
    <t>KEREN 32</t>
  </si>
  <si>
    <t>KEREN 35</t>
  </si>
  <si>
    <t>KEREN 39</t>
  </si>
  <si>
    <t>KEREN 43</t>
  </si>
  <si>
    <t>ATLAS 12</t>
  </si>
  <si>
    <t>ATLAS 16</t>
  </si>
  <si>
    <t>HELIOS 15</t>
  </si>
  <si>
    <t>HELIOS 18</t>
  </si>
  <si>
    <t>HELIOS 22</t>
  </si>
  <si>
    <t>HELIOS 26</t>
  </si>
  <si>
    <t>HELIOS 29</t>
  </si>
  <si>
    <t>HELIOS 33</t>
  </si>
  <si>
    <t>YOKO 33</t>
  </si>
  <si>
    <t>YOKO 37</t>
  </si>
  <si>
    <t>YOKO 41</t>
  </si>
  <si>
    <t>YOKO 45</t>
  </si>
  <si>
    <t>YOKO 48</t>
  </si>
  <si>
    <t>SOLEA 21</t>
  </si>
  <si>
    <t>SOLEA 26</t>
  </si>
  <si>
    <t>SOLEA 30</t>
  </si>
  <si>
    <t>SOLEA 34</t>
  </si>
  <si>
    <t>SOLEA 37</t>
  </si>
  <si>
    <t>SOLEA 41</t>
  </si>
  <si>
    <t>O1</t>
  </si>
  <si>
    <t>O2</t>
  </si>
  <si>
    <t>O3</t>
  </si>
  <si>
    <t>O4</t>
  </si>
  <si>
    <t>O5</t>
  </si>
  <si>
    <t>O6</t>
  </si>
  <si>
    <t>O7</t>
  </si>
  <si>
    <t>O8</t>
  </si>
  <si>
    <t>O9</t>
  </si>
  <si>
    <t>O10</t>
  </si>
  <si>
    <t>O11</t>
  </si>
  <si>
    <t>O12</t>
  </si>
  <si>
    <t>O13</t>
  </si>
  <si>
    <t>O14</t>
  </si>
  <si>
    <t>O15</t>
  </si>
  <si>
    <t>O16</t>
  </si>
  <si>
    <t>O17</t>
  </si>
  <si>
    <t>O18</t>
  </si>
  <si>
    <t>O19</t>
  </si>
  <si>
    <t>O20</t>
  </si>
  <si>
    <t>O21</t>
  </si>
  <si>
    <t>O22</t>
  </si>
  <si>
    <t>O23</t>
  </si>
  <si>
    <t>O24</t>
  </si>
  <si>
    <t>O25</t>
  </si>
  <si>
    <t>O26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</si>
  <si>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</si>
  <si>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</si>
  <si>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</si>
  <si>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</si>
  <si>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</si>
  <si>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</si>
  <si>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</si>
  <si>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</si>
  <si>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</si>
  <si>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</si>
  <si>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</si>
  <si>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</si>
  <si>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</si>
  <si>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</si>
  <si>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</si>
  <si>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</si>
  <si>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K1</t>
  </si>
  <si>
    <t>K2</t>
  </si>
  <si>
    <t>K3</t>
  </si>
  <si>
    <t>K4</t>
  </si>
  <si>
    <t>K5</t>
  </si>
  <si>
    <t>K6</t>
  </si>
  <si>
    <t>K7</t>
  </si>
  <si>
    <t>K8</t>
  </si>
  <si>
    <t>K9</t>
  </si>
  <si>
    <t>K10</t>
  </si>
  <si>
    <t>K11</t>
  </si>
  <si>
    <t>K12</t>
  </si>
  <si>
    <t>K13</t>
  </si>
  <si>
    <t>K14</t>
  </si>
  <si>
    <t>K15</t>
  </si>
  <si>
    <t>K16</t>
  </si>
  <si>
    <t>K17</t>
  </si>
  <si>
    <t>K18</t>
  </si>
  <si>
    <t>K19</t>
  </si>
  <si>
    <t>K20</t>
  </si>
  <si>
    <t>K21</t>
  </si>
  <si>
    <t>K22</t>
  </si>
  <si>
    <t>K23</t>
  </si>
  <si>
    <t>K24</t>
  </si>
  <si>
    <t>K25</t>
  </si>
  <si>
    <t>K26</t>
  </si>
  <si>
    <t>K27</t>
  </si>
  <si>
    <t>K28</t>
  </si>
  <si>
    <t>K29</t>
  </si>
  <si>
    <t>K30</t>
  </si>
  <si>
    <t>K31</t>
  </si>
  <si>
    <t>K32</t>
  </si>
  <si>
    <t>K33</t>
  </si>
  <si>
    <t>K34</t>
  </si>
  <si>
    <t>K35</t>
  </si>
  <si>
    <t>K36</t>
  </si>
  <si>
    <t>K37</t>
  </si>
  <si>
    <t>K38</t>
  </si>
  <si>
    <t>A1N</t>
  </si>
  <si>
    <t>A1SN</t>
  </si>
  <si>
    <t>A2N</t>
  </si>
  <si>
    <t>A2SN</t>
  </si>
  <si>
    <t>A3N</t>
  </si>
  <si>
    <t>A3SN</t>
  </si>
  <si>
    <t>A4N</t>
  </si>
  <si>
    <t>A4SN</t>
  </si>
  <si>
    <t>A5N</t>
  </si>
  <si>
    <t>A5SN</t>
  </si>
  <si>
    <t>A6N</t>
  </si>
  <si>
    <t>A6SN</t>
  </si>
  <si>
    <t>A10N</t>
  </si>
  <si>
    <t>A10SN</t>
  </si>
  <si>
    <t>A11N</t>
  </si>
  <si>
    <t>A11SN</t>
  </si>
  <si>
    <t>A12N</t>
  </si>
  <si>
    <t>A12SN</t>
  </si>
  <si>
    <t>A13N</t>
  </si>
  <si>
    <t>A13SN</t>
  </si>
  <si>
    <t>A14N</t>
  </si>
  <si>
    <t>A14SN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</si>
  <si>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</si>
  <si>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</si>
  <si>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</si>
  <si>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</si>
  <si>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</si>
  <si>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</si>
  <si>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</si>
  <si>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</si>
  <si>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</si>
  <si>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</si>
  <si>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</si>
  <si>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</si>
  <si>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</si>
  <si>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</si>
  <si>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</si>
  <si>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</si>
  <si>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</si>
  <si>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</si>
  <si>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</si>
  <si>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</si>
  <si>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</si>
  <si>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</si>
  <si>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</si>
  <si>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</si>
  <si>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H25</t>
  </si>
  <si>
    <t>H26</t>
  </si>
  <si>
    <t>H27</t>
  </si>
  <si>
    <t>H28</t>
  </si>
  <si>
    <t>H29</t>
  </si>
  <si>
    <t>H30</t>
  </si>
  <si>
    <t>H31</t>
  </si>
  <si>
    <t>H32</t>
  </si>
  <si>
    <t>H33</t>
  </si>
  <si>
    <t>H34</t>
  </si>
  <si>
    <t>H35</t>
  </si>
  <si>
    <t>H36</t>
  </si>
  <si>
    <t>H37</t>
  </si>
  <si>
    <t>H38</t>
  </si>
  <si>
    <t>H39</t>
  </si>
  <si>
    <t>H40</t>
  </si>
  <si>
    <t>H41</t>
  </si>
  <si>
    <t>H42</t>
  </si>
  <si>
    <t>H43</t>
  </si>
  <si>
    <t>H44</t>
  </si>
  <si>
    <t>H45</t>
  </si>
  <si>
    <t>H46</t>
  </si>
  <si>
    <t>H47</t>
  </si>
  <si>
    <t>H48</t>
  </si>
  <si>
    <t>H49</t>
  </si>
  <si>
    <t>H50</t>
  </si>
  <si>
    <t>H51</t>
  </si>
  <si>
    <t>H52</t>
  </si>
  <si>
    <t>H53</t>
  </si>
  <si>
    <t>H54</t>
  </si>
  <si>
    <t>H55</t>
  </si>
  <si>
    <t>H56</t>
  </si>
  <si>
    <t>H57</t>
  </si>
  <si>
    <t>H58</t>
  </si>
  <si>
    <t>H59</t>
  </si>
  <si>
    <t>H60</t>
  </si>
  <si>
    <t>H61</t>
  </si>
  <si>
    <t>Y1</t>
  </si>
  <si>
    <t>Y2</t>
  </si>
  <si>
    <t>Y3</t>
  </si>
  <si>
    <t>Y4</t>
  </si>
  <si>
    <t>Y5</t>
  </si>
  <si>
    <t>Y6</t>
  </si>
  <si>
    <t>Y7</t>
  </si>
  <si>
    <t>Y8</t>
  </si>
  <si>
    <t>Y9</t>
  </si>
  <si>
    <t>Y10</t>
  </si>
  <si>
    <t>Y11</t>
  </si>
  <si>
    <t>Y12</t>
  </si>
  <si>
    <t>Y13</t>
  </si>
  <si>
    <t>Y14</t>
  </si>
  <si>
    <t>Y15</t>
  </si>
  <si>
    <t>Y16</t>
  </si>
  <si>
    <t>Y17</t>
  </si>
  <si>
    <t>Y18</t>
  </si>
  <si>
    <t>Y19</t>
  </si>
  <si>
    <t>Y20</t>
  </si>
  <si>
    <t>Y21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</si>
  <si>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</si>
  <si>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</si>
  <si>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</si>
  <si>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</si>
  <si>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</si>
  <si>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</si>
  <si>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</si>
  <si>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</si>
  <si>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</si>
  <si>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</si>
  <si>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</si>
  <si>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</si>
  <si>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</si>
  <si>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</si>
  <si>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</si>
  <si>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</si>
  <si>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</si>
  <si>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</si>
  <si>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</si>
  <si>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</si>
  <si>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</si>
  <si>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</si>
  <si>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</si>
  <si>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</si>
  <si>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</si>
  <si>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</si>
  <si>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</si>
  <si>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</si>
  <si>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</si>
  <si>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</si>
  <si>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</si>
  <si>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</si>
  <si>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</si>
  <si>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</si>
  <si>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</si>
  <si>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</si>
  <si>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</si>
  <si>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</si>
  <si>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</si>
  <si>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</si>
  <si>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13/12m</t>
  </si>
  <si>
    <t>13/16m</t>
  </si>
  <si>
    <t>9.3/15m</t>
  </si>
  <si>
    <t>9.3/18.6m</t>
  </si>
  <si>
    <t>9.3/22.3m</t>
  </si>
  <si>
    <t>9.3/26m</t>
  </si>
  <si>
    <t>9.3/29.8m</t>
  </si>
  <si>
    <t>9.3/33.5m</t>
  </si>
  <si>
    <t>9.3/15/9.3m</t>
  </si>
  <si>
    <t>9.3/18.6/9.3m</t>
  </si>
  <si>
    <t>9.3/22.3/9.3m</t>
  </si>
  <si>
    <t>9.3/26.9/9.3m</t>
  </si>
  <si>
    <t>9.3/29.8/9.3m</t>
  </si>
  <si>
    <t>4/15/4m</t>
  </si>
  <si>
    <t>4/18.6/4m</t>
  </si>
  <si>
    <t>4/22.3/4m</t>
  </si>
  <si>
    <t>4/26/4m</t>
  </si>
  <si>
    <t>4/29.8/4m</t>
  </si>
  <si>
    <t>4/33.5/4m</t>
  </si>
  <si>
    <t>4m</t>
  </si>
  <si>
    <t>3.9m</t>
  </si>
  <si>
    <t>5.5m</t>
  </si>
  <si>
    <t>4.6m</t>
  </si>
  <si>
    <t>7.42m</t>
  </si>
  <si>
    <t>8.4m</t>
  </si>
  <si>
    <t>8.9m</t>
  </si>
  <si>
    <t>9.8m</t>
  </si>
  <si>
    <t>6.8m</t>
  </si>
  <si>
    <t>7.1m</t>
  </si>
  <si>
    <t>7.5m</t>
  </si>
  <si>
    <t>7.8m</t>
  </si>
  <si>
    <t>8.1m</t>
  </si>
  <si>
    <t>8.5m</t>
  </si>
  <si>
    <t>7.41m</t>
  </si>
  <si>
    <t>8.39m</t>
  </si>
  <si>
    <t>6.82m</t>
  </si>
  <si>
    <t>7.14m</t>
  </si>
  <si>
    <t>7.47m</t>
  </si>
  <si>
    <t>7.80m</t>
  </si>
  <si>
    <t>8.12m</t>
  </si>
  <si>
    <t>8.45m</t>
  </si>
  <si>
    <t>4 x 7.5m</t>
  </si>
  <si>
    <t>5 x 7.5m</t>
  </si>
  <si>
    <t>6 x 7.5m</t>
  </si>
  <si>
    <t>7 x 7.5m</t>
  </si>
  <si>
    <t>8 x 7.5m</t>
  </si>
  <si>
    <t>9 x 7.5m</t>
  </si>
  <si>
    <t>10 x 7.5m</t>
  </si>
  <si>
    <t>11 x 7.5m</t>
  </si>
  <si>
    <t>12 x 7.5m</t>
  </si>
  <si>
    <t>13 x 7.5m</t>
  </si>
  <si>
    <t>14 x 7.5m</t>
  </si>
  <si>
    <t>15 x 7.5m</t>
  </si>
  <si>
    <t>16 x 7.5m</t>
  </si>
  <si>
    <t>Non</t>
  </si>
  <si>
    <t>Oui</t>
  </si>
  <si>
    <t>Oui / Oui</t>
  </si>
  <si>
    <t>Ratio Tarif/Puissance</t>
  </si>
  <si>
    <t>12,7 + 4</t>
  </si>
  <si>
    <t>12,7 + 8</t>
  </si>
  <si>
    <t>16,4 + 4</t>
  </si>
  <si>
    <t>16,4 + 8</t>
  </si>
  <si>
    <t>EQUESTRE 64m</t>
  </si>
  <si>
    <t>EQUESTRE 44m</t>
  </si>
  <si>
    <t>Largeur travée</t>
  </si>
  <si>
    <t>TALIAN 9</t>
  </si>
  <si>
    <t>EPONA 65</t>
  </si>
  <si>
    <t>EPONA 45</t>
  </si>
  <si>
    <t>TALIAN 1</t>
  </si>
  <si>
    <t>TALIAN 2</t>
  </si>
  <si>
    <t>TALIAN 3</t>
  </si>
  <si>
    <t>TALIAN 4</t>
  </si>
  <si>
    <t>TALIAN 5</t>
  </si>
  <si>
    <t>TALIAN 6</t>
  </si>
  <si>
    <t>TALIAN 7</t>
  </si>
  <si>
    <t>TALIAN 8</t>
  </si>
  <si>
    <t>T1 MINI</t>
  </si>
  <si>
    <t>T1 MID</t>
  </si>
  <si>
    <t>T1 MAXI</t>
  </si>
  <si>
    <t>T2 MINI</t>
  </si>
  <si>
    <t>T2 MID</t>
  </si>
  <si>
    <t>T2 MAXI</t>
  </si>
  <si>
    <t>T3 MINI</t>
  </si>
  <si>
    <t>T3 MID</t>
  </si>
  <si>
    <t>T3 MAXI</t>
  </si>
  <si>
    <t>T4 MINI</t>
  </si>
  <si>
    <t>T4 MID</t>
  </si>
  <si>
    <t>T4 MAXI</t>
  </si>
  <si>
    <t>T5 MINI</t>
  </si>
  <si>
    <t>T5 MID</t>
  </si>
  <si>
    <t>T5 MAXI</t>
  </si>
  <si>
    <t>T6 MINI</t>
  </si>
  <si>
    <t>T6 MID</t>
  </si>
  <si>
    <t>T6 MAXI</t>
  </si>
  <si>
    <t>T7 MINI</t>
  </si>
  <si>
    <t>T7 MID</t>
  </si>
  <si>
    <t>T7 MAXI</t>
  </si>
  <si>
    <t>T8 MINI</t>
  </si>
  <si>
    <t>T8 MID</t>
  </si>
  <si>
    <t>T8 MAXI</t>
  </si>
  <si>
    <t>T9 MINI</t>
  </si>
  <si>
    <t>T9 MID</t>
  </si>
  <si>
    <t>T9 MAXI</t>
  </si>
  <si>
    <t>Pondération toiture 1</t>
  </si>
  <si>
    <t>Inclinaison</t>
  </si>
  <si>
    <t>14°</t>
  </si>
  <si>
    <t>12°</t>
  </si>
  <si>
    <t>15°</t>
  </si>
  <si>
    <t>10°</t>
  </si>
  <si>
    <t>17°</t>
  </si>
  <si>
    <t>13°</t>
  </si>
  <si>
    <t>6°</t>
  </si>
  <si>
    <t>9°</t>
  </si>
  <si>
    <t>O3M</t>
  </si>
  <si>
    <t>O3D</t>
  </si>
  <si>
    <t>Equivalence Barconnière</t>
  </si>
  <si>
    <t>AS 7.2 0 0.0</t>
  </si>
  <si>
    <t>AS 9.2 0 0.0</t>
  </si>
  <si>
    <t>ASP 10.4 0 0.0</t>
  </si>
  <si>
    <t>ASP 12.4 0 0.0</t>
  </si>
  <si>
    <t>S 4.4 5.0 0.0</t>
  </si>
  <si>
    <t>S 5.5 5.0 0.0</t>
  </si>
  <si>
    <t>S 6.6 5.0 0.0</t>
  </si>
  <si>
    <t>S 7.7 5.0 0.0</t>
  </si>
  <si>
    <t>S 8.8 5.0 0.0</t>
  </si>
  <si>
    <t>S 9.9 5.0 0.0</t>
  </si>
  <si>
    <t>M7 0 2.2</t>
  </si>
  <si>
    <t>M7 0 0.2</t>
  </si>
  <si>
    <t>M9 0 0.2</t>
  </si>
  <si>
    <t>M9 0 2.2</t>
  </si>
  <si>
    <t>S4.4 0.0 0.0</t>
  </si>
  <si>
    <t>S5.5 0.0 0.0</t>
  </si>
  <si>
    <t>S6.6 0.0 0.0</t>
  </si>
  <si>
    <t>S7.7 0.0 0.0</t>
  </si>
  <si>
    <t>S8.8 0.0 0.0</t>
  </si>
  <si>
    <t>S9.9 0.0 0.0</t>
  </si>
  <si>
    <t>S4.4 5.5 0.0</t>
  </si>
  <si>
    <t>S5.5 5.5 0.0</t>
  </si>
  <si>
    <t>S6.6 5.5 0.0</t>
  </si>
  <si>
    <t>S7.7 5.5 0.0</t>
  </si>
  <si>
    <t>S8.8 5.5 0.0</t>
  </si>
  <si>
    <t>S4.4 0.0 2.2</t>
  </si>
  <si>
    <t>S5.5 0.0 2.2</t>
  </si>
  <si>
    <t>S6.6 0.0 2.2</t>
  </si>
  <si>
    <t>S7.7 0.0 2.2</t>
  </si>
  <si>
    <t>S8.8 0.0 2.2</t>
  </si>
  <si>
    <t>S9.9 0.0 2.2</t>
  </si>
  <si>
    <t>OMBRIERE VL SIMPLE GAUCHE</t>
  </si>
  <si>
    <t>OMBRIERE VL SIMPLE DROITE</t>
  </si>
  <si>
    <t>OMBRIERE VL DOUBLE</t>
  </si>
  <si>
    <t>OMBRIERE VL DOUBLE+</t>
  </si>
  <si>
    <t>OMBRIERE PL 16m</t>
  </si>
  <si>
    <t>OMBRIERE PL 20m</t>
  </si>
  <si>
    <t>OMBRIERE PL 25m</t>
  </si>
  <si>
    <t>Ratio Tarif/Surface</t>
  </si>
  <si>
    <t>OM3</t>
  </si>
  <si>
    <t>OD3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</si>
</sst>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#,##0\ &quot;€&quot;;[Red]\-#,##0\ &quot;€&quot;"/>
    <numFmt numFmtId="8" formatCode="#,##0.00\ &quot;€&quot;;[Red]\-#,##0.00\ &quot;€&quot;"/>
    <numFmt numFmtId="164" formatCode="#,##0.0"/>
    <numFmt numFmtId="165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4" fontId="0" fillId="0" borderId="1" xfId="0" applyNumberFormat="1" applyBorder="1"/>
    <xf numFmtId="6" fontId="0" fillId="0" borderId="1" xfId="0" applyNumberFormat="1" applyBorder="1"/>
    <xf numFmtId="8" fontId="0" fillId="0" borderId="1" xfId="0" applyNumberFormat="1" applyBorder="1"/>
    <xf numFmtId="3" fontId="0" fillId="0" borderId="1" xfId="0" applyNumberFormat="1" applyBorder="1"/>
    <xf numFmtId="164" fontId="0" fillId="0" borderId="1" xfId="0" applyNumberFormat="1" applyBorder="1"/>
    <xf numFmtId="165" fontId="0" fillId="0" borderId="1" xfId="0" applyNumberFormat="1" applyBorder="1"/>
    <xf numFmtId="0" fontId="1" fillId="0" borderId="2" xfId="0" applyFont="1" applyBorder="1" applyAlignment="1">
      <alignment horizontal="center" vertical="center" wrapText="1"/>
    </xf>
    <xf numFmtId="9" fontId="0" fillId="0" borderId="0" xfId="0" applyNumberForma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274"/>
  <sheetViews>
    <sheetView tabSelected="1" topLeftCell="A244" workbookViewId="0">
      <selection sqref="A1:Q274"/>
    </sheetView>
  </sheetViews>
  <sheetFormatPr baseColWidth="10" defaultColWidth="9.140625" defaultRowHeight="15" x14ac:dyDescent="0.25"/>
  <cols>
    <col min="1" max="1" width="27.5703125" bestFit="1" customWidth="1"/>
    <col min="2" max="2" width="6.7109375" bestFit="1" customWidth="1"/>
    <col min="3" max="3" width="12.85546875" bestFit="1" customWidth="1"/>
    <col min="4" max="4" width="9.42578125" bestFit="1" customWidth="1"/>
    <col min="5" max="5" width="11" bestFit="1" customWidth="1"/>
    <col min="6" max="6" width="9.42578125" bestFit="1" customWidth="1"/>
    <col min="7" max="7" width="13.140625" bestFit="1" customWidth="1"/>
    <col min="8" max="8" width="8.28515625" bestFit="1" customWidth="1"/>
    <col min="9" max="9" width="7.42578125" bestFit="1" customWidth="1"/>
    <col min="11" max="13" width="9.28515625" customWidth="1"/>
    <col min="14" max="14" width="9.7109375" bestFit="1" customWidth="1"/>
    <col min="15" max="15" width="10.7109375" customWidth="1"/>
    <col min="16" max="16" width="14.5703125" bestFit="1" customWidth="1"/>
    <col min="17" max="17" width="14.5703125" customWidth="1"/>
  </cols>
  <sheetData>
    <row r="1" spans="1:17" ht="35.25" customHeight="1" x14ac:dyDescent="0.25">
      <c r="A1" s="1" t="s">
        <v>0</v>
      </c>
      <c r="B1" s="1" t="s">
        <v>1</v>
      </c>
      <c r="C1" s="1" t="s">
        <v>382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324</v>
      </c>
      <c r="Q1" s="1" t="s">
        <v>421</v>
      </c>
    </row>
    <row r="2" spans="1:17" x14ac:dyDescent="0.25">
      <c r="A2" s="2" t="s">
        <v>14</v>
      </c>
      <c r="B2" s="2" t="s">
        <v>43</v>
      </c>
      <c r="C2" s="2" t="s">
        <v>383</v>
      </c>
      <c r="D2" s="3">
        <v>30</v>
      </c>
      <c r="E2" s="3">
        <v>16.399999999999999</v>
      </c>
      <c r="F2" s="6">
        <v>492</v>
      </c>
      <c r="G2" s="2"/>
      <c r="H2" s="2" t="s">
        <v>286</v>
      </c>
      <c r="I2" s="2" t="s">
        <v>290</v>
      </c>
      <c r="J2" s="2" t="s">
        <v>308</v>
      </c>
      <c r="K2" s="2"/>
      <c r="L2" s="2"/>
      <c r="M2" s="2"/>
      <c r="N2" s="2">
        <v>96</v>
      </c>
      <c r="O2" s="4">
        <v>57288</v>
      </c>
      <c r="P2" s="5">
        <f t="shared" ref="P2:Q65" si="0">O2/(N2*1000)</f>
        <v>0.59675</v>
      </c>
      <c r="Q2" s="4">
        <f>O2/F2</f>
        <v>116.4390243902439</v>
      </c>
    </row>
    <row r="3" spans="1:17" x14ac:dyDescent="0.25">
      <c r="A3" s="2" t="s">
        <v>14</v>
      </c>
      <c r="B3" s="2" t="s">
        <v>44</v>
      </c>
      <c r="C3" s="2" t="s">
        <v>383</v>
      </c>
      <c r="D3" s="3">
        <v>37.5</v>
      </c>
      <c r="E3" s="3">
        <v>16.399999999999999</v>
      </c>
      <c r="F3" s="6">
        <v>615</v>
      </c>
      <c r="G3" s="2"/>
      <c r="H3" s="2" t="s">
        <v>286</v>
      </c>
      <c r="I3" s="2" t="s">
        <v>290</v>
      </c>
      <c r="J3" s="2" t="s">
        <v>309</v>
      </c>
      <c r="K3" s="2"/>
      <c r="L3" s="2"/>
      <c r="M3" s="2"/>
      <c r="N3" s="2">
        <v>126</v>
      </c>
      <c r="O3" s="4">
        <v>68777</v>
      </c>
      <c r="P3" s="5">
        <f t="shared" si="0"/>
        <v>0.54584920634920631</v>
      </c>
      <c r="Q3" s="4">
        <f t="shared" ref="Q3:Q66" si="1">O3/F3</f>
        <v>111.83252032520325</v>
      </c>
    </row>
    <row r="4" spans="1:17" x14ac:dyDescent="0.25">
      <c r="A4" s="2" t="s">
        <v>14</v>
      </c>
      <c r="B4" s="2" t="s">
        <v>45</v>
      </c>
      <c r="C4" s="2" t="s">
        <v>383</v>
      </c>
      <c r="D4" s="3">
        <v>45</v>
      </c>
      <c r="E4" s="3">
        <v>16.399999999999999</v>
      </c>
      <c r="F4" s="6">
        <v>738</v>
      </c>
      <c r="G4" s="2"/>
      <c r="H4" s="2" t="s">
        <v>286</v>
      </c>
      <c r="I4" s="2" t="s">
        <v>290</v>
      </c>
      <c r="J4" s="2" t="s">
        <v>310</v>
      </c>
      <c r="K4" s="2"/>
      <c r="L4" s="2"/>
      <c r="M4" s="2"/>
      <c r="N4" s="2">
        <v>151</v>
      </c>
      <c r="O4" s="4">
        <v>80452</v>
      </c>
      <c r="P4" s="5">
        <f t="shared" si="0"/>
        <v>0.53279470198675494</v>
      </c>
      <c r="Q4" s="4">
        <f t="shared" si="1"/>
        <v>109.01355013550136</v>
      </c>
    </row>
    <row r="5" spans="1:17" x14ac:dyDescent="0.25">
      <c r="A5" s="2" t="s">
        <v>14</v>
      </c>
      <c r="B5" s="2" t="s">
        <v>46</v>
      </c>
      <c r="C5" s="2" t="s">
        <v>383</v>
      </c>
      <c r="D5" s="3">
        <v>52.5</v>
      </c>
      <c r="E5" s="3">
        <v>16.399999999999999</v>
      </c>
      <c r="F5" s="6">
        <v>861</v>
      </c>
      <c r="G5" s="2"/>
      <c r="H5" s="2" t="s">
        <v>286</v>
      </c>
      <c r="I5" s="2" t="s">
        <v>290</v>
      </c>
      <c r="J5" s="2" t="s">
        <v>311</v>
      </c>
      <c r="K5" s="2"/>
      <c r="L5" s="2"/>
      <c r="M5" s="2"/>
      <c r="N5" s="2">
        <v>175</v>
      </c>
      <c r="O5" s="4">
        <v>92127</v>
      </c>
      <c r="P5" s="5">
        <f t="shared" si="0"/>
        <v>0.52644000000000002</v>
      </c>
      <c r="Q5" s="4">
        <f t="shared" si="1"/>
        <v>107</v>
      </c>
    </row>
    <row r="6" spans="1:17" x14ac:dyDescent="0.25">
      <c r="A6" s="2" t="s">
        <v>14</v>
      </c>
      <c r="B6" s="2" t="s">
        <v>47</v>
      </c>
      <c r="C6" s="2" t="s">
        <v>383</v>
      </c>
      <c r="D6" s="3">
        <v>60</v>
      </c>
      <c r="E6" s="3">
        <v>16.399999999999999</v>
      </c>
      <c r="F6" s="6">
        <v>984</v>
      </c>
      <c r="G6" s="2"/>
      <c r="H6" s="2" t="s">
        <v>286</v>
      </c>
      <c r="I6" s="2" t="s">
        <v>290</v>
      </c>
      <c r="J6" s="2" t="s">
        <v>312</v>
      </c>
      <c r="K6" s="2"/>
      <c r="L6" s="2"/>
      <c r="M6" s="2"/>
      <c r="N6" s="2">
        <v>199</v>
      </c>
      <c r="O6" s="4">
        <v>103630</v>
      </c>
      <c r="P6" s="5">
        <f t="shared" si="0"/>
        <v>0.52075376884422109</v>
      </c>
      <c r="Q6" s="4">
        <f t="shared" si="1"/>
        <v>105.3150406504065</v>
      </c>
    </row>
    <row r="7" spans="1:17" x14ac:dyDescent="0.25">
      <c r="A7" s="2" t="s">
        <v>14</v>
      </c>
      <c r="B7" s="2" t="s">
        <v>48</v>
      </c>
      <c r="C7" s="2" t="s">
        <v>383</v>
      </c>
      <c r="D7" s="3">
        <v>67.5</v>
      </c>
      <c r="E7" s="3">
        <v>16.399999999999999</v>
      </c>
      <c r="F7" s="6">
        <v>1107</v>
      </c>
      <c r="G7" s="2"/>
      <c r="H7" s="2" t="s">
        <v>286</v>
      </c>
      <c r="I7" s="2" t="s">
        <v>290</v>
      </c>
      <c r="J7" s="2" t="s">
        <v>313</v>
      </c>
      <c r="K7" s="2"/>
      <c r="L7" s="2"/>
      <c r="M7" s="2"/>
      <c r="N7" s="2">
        <v>229</v>
      </c>
      <c r="O7" s="4">
        <v>115305</v>
      </c>
      <c r="P7" s="5">
        <f t="shared" si="0"/>
        <v>0.50351528384279476</v>
      </c>
      <c r="Q7" s="4">
        <f t="shared" si="1"/>
        <v>104.15989159891599</v>
      </c>
    </row>
    <row r="8" spans="1:17" x14ac:dyDescent="0.25">
      <c r="A8" s="2" t="s">
        <v>14</v>
      </c>
      <c r="B8" s="2" t="s">
        <v>49</v>
      </c>
      <c r="C8" s="2" t="s">
        <v>383</v>
      </c>
      <c r="D8" s="3">
        <v>75</v>
      </c>
      <c r="E8" s="3">
        <v>16.399999999999999</v>
      </c>
      <c r="F8" s="6">
        <v>1230</v>
      </c>
      <c r="G8" s="2"/>
      <c r="H8" s="2" t="s">
        <v>286</v>
      </c>
      <c r="I8" s="2" t="s">
        <v>290</v>
      </c>
      <c r="J8" s="2" t="s">
        <v>314</v>
      </c>
      <c r="K8" s="2"/>
      <c r="L8" s="2"/>
      <c r="M8" s="2"/>
      <c r="N8" s="2">
        <v>253</v>
      </c>
      <c r="O8" s="4">
        <v>127820</v>
      </c>
      <c r="P8" s="5">
        <f t="shared" si="0"/>
        <v>0.50521739130434784</v>
      </c>
      <c r="Q8" s="4">
        <f t="shared" si="1"/>
        <v>103.91869918699187</v>
      </c>
    </row>
    <row r="9" spans="1:17" x14ac:dyDescent="0.25">
      <c r="A9" s="2" t="s">
        <v>14</v>
      </c>
      <c r="B9" s="2" t="s">
        <v>50</v>
      </c>
      <c r="C9" s="2" t="s">
        <v>383</v>
      </c>
      <c r="D9" s="3">
        <v>82.5</v>
      </c>
      <c r="E9" s="3">
        <v>16.399999999999999</v>
      </c>
      <c r="F9" s="6">
        <v>1353</v>
      </c>
      <c r="G9" s="2"/>
      <c r="H9" s="2" t="s">
        <v>286</v>
      </c>
      <c r="I9" s="2" t="s">
        <v>290</v>
      </c>
      <c r="J9" s="2" t="s">
        <v>315</v>
      </c>
      <c r="K9" s="2"/>
      <c r="L9" s="2"/>
      <c r="M9" s="2"/>
      <c r="N9" s="2">
        <v>278</v>
      </c>
      <c r="O9" s="4">
        <v>139495</v>
      </c>
      <c r="P9" s="5">
        <f t="shared" si="0"/>
        <v>0.50178057553956834</v>
      </c>
      <c r="Q9" s="4">
        <f t="shared" si="1"/>
        <v>103.10051736881005</v>
      </c>
    </row>
    <row r="10" spans="1:17" x14ac:dyDescent="0.25">
      <c r="A10" s="2" t="s">
        <v>14</v>
      </c>
      <c r="B10" s="2" t="s">
        <v>51</v>
      </c>
      <c r="C10" s="2" t="s">
        <v>383</v>
      </c>
      <c r="D10" s="3">
        <v>90</v>
      </c>
      <c r="E10" s="3">
        <v>16.399999999999999</v>
      </c>
      <c r="F10" s="6">
        <v>1476</v>
      </c>
      <c r="G10" s="2"/>
      <c r="H10" s="2" t="s">
        <v>286</v>
      </c>
      <c r="I10" s="2" t="s">
        <v>290</v>
      </c>
      <c r="J10" s="2" t="s">
        <v>316</v>
      </c>
      <c r="K10" s="2"/>
      <c r="L10" s="2"/>
      <c r="M10" s="2"/>
      <c r="N10" s="2">
        <v>302</v>
      </c>
      <c r="O10" s="4">
        <v>150985</v>
      </c>
      <c r="P10" s="5">
        <f t="shared" si="0"/>
        <v>0.49995033112582782</v>
      </c>
      <c r="Q10" s="4">
        <f t="shared" si="1"/>
        <v>102.29336043360433</v>
      </c>
    </row>
    <row r="11" spans="1:17" x14ac:dyDescent="0.25">
      <c r="A11" s="2" t="s">
        <v>14</v>
      </c>
      <c r="B11" s="2" t="s">
        <v>52</v>
      </c>
      <c r="C11" s="2" t="s">
        <v>383</v>
      </c>
      <c r="D11" s="3">
        <v>97.5</v>
      </c>
      <c r="E11" s="3">
        <v>16.399999999999999</v>
      </c>
      <c r="F11" s="6">
        <v>1599</v>
      </c>
      <c r="G11" s="2"/>
      <c r="H11" s="2" t="s">
        <v>286</v>
      </c>
      <c r="I11" s="2" t="s">
        <v>290</v>
      </c>
      <c r="J11" s="2" t="s">
        <v>317</v>
      </c>
      <c r="K11" s="2"/>
      <c r="L11" s="2"/>
      <c r="M11" s="2"/>
      <c r="N11" s="2">
        <v>323</v>
      </c>
      <c r="O11" s="4">
        <v>162488</v>
      </c>
      <c r="P11" s="5">
        <f t="shared" si="0"/>
        <v>0.50305882352941178</v>
      </c>
      <c r="Q11" s="4">
        <f t="shared" si="1"/>
        <v>101.61851156973108</v>
      </c>
    </row>
    <row r="12" spans="1:17" x14ac:dyDescent="0.25">
      <c r="A12" s="2" t="s">
        <v>14</v>
      </c>
      <c r="B12" s="2" t="s">
        <v>53</v>
      </c>
      <c r="C12" s="2" t="s">
        <v>383</v>
      </c>
      <c r="D12" s="3">
        <v>105</v>
      </c>
      <c r="E12" s="3">
        <v>16.399999999999999</v>
      </c>
      <c r="F12" s="6">
        <v>1722</v>
      </c>
      <c r="G12" s="2"/>
      <c r="H12" s="2" t="s">
        <v>286</v>
      </c>
      <c r="I12" s="2" t="s">
        <v>290</v>
      </c>
      <c r="J12" s="2" t="s">
        <v>318</v>
      </c>
      <c r="K12" s="2"/>
      <c r="L12" s="2"/>
      <c r="M12" s="2"/>
      <c r="N12" s="2">
        <v>356</v>
      </c>
      <c r="O12" s="4">
        <v>176705</v>
      </c>
      <c r="P12" s="5">
        <f t="shared" si="0"/>
        <v>0.49636235955056179</v>
      </c>
      <c r="Q12" s="4">
        <f t="shared" si="1"/>
        <v>102.61614401858304</v>
      </c>
    </row>
    <row r="13" spans="1:17" x14ac:dyDescent="0.25">
      <c r="A13" s="2" t="s">
        <v>14</v>
      </c>
      <c r="B13" s="2" t="s">
        <v>54</v>
      </c>
      <c r="C13" s="2" t="s">
        <v>383</v>
      </c>
      <c r="D13" s="3">
        <v>112.5</v>
      </c>
      <c r="E13" s="3">
        <v>16.399999999999999</v>
      </c>
      <c r="F13" s="6">
        <v>1845</v>
      </c>
      <c r="G13" s="2"/>
      <c r="H13" s="2" t="s">
        <v>286</v>
      </c>
      <c r="I13" s="2" t="s">
        <v>290</v>
      </c>
      <c r="J13" s="2" t="s">
        <v>319</v>
      </c>
      <c r="K13" s="2"/>
      <c r="L13" s="2"/>
      <c r="M13" s="2"/>
      <c r="N13" s="2">
        <v>380</v>
      </c>
      <c r="O13" s="4">
        <v>188380</v>
      </c>
      <c r="P13" s="5">
        <f t="shared" si="0"/>
        <v>0.49573684210526314</v>
      </c>
      <c r="Q13" s="4">
        <f t="shared" si="1"/>
        <v>102.10298102981029</v>
      </c>
    </row>
    <row r="14" spans="1:17" x14ac:dyDescent="0.25">
      <c r="A14" s="2" t="s">
        <v>14</v>
      </c>
      <c r="B14" s="2" t="s">
        <v>55</v>
      </c>
      <c r="C14" s="2" t="s">
        <v>383</v>
      </c>
      <c r="D14" s="3">
        <v>120</v>
      </c>
      <c r="E14" s="3">
        <v>16.399999999999999</v>
      </c>
      <c r="F14" s="6">
        <v>1968</v>
      </c>
      <c r="G14" s="2"/>
      <c r="H14" s="2" t="s">
        <v>286</v>
      </c>
      <c r="I14" s="2" t="s">
        <v>290</v>
      </c>
      <c r="J14" s="2" t="s">
        <v>320</v>
      </c>
      <c r="K14" s="2"/>
      <c r="L14" s="2"/>
      <c r="M14" s="2"/>
      <c r="N14" s="2">
        <v>405</v>
      </c>
      <c r="O14" s="4">
        <v>200055</v>
      </c>
      <c r="P14" s="5">
        <f t="shared" si="0"/>
        <v>0.49396296296296294</v>
      </c>
      <c r="Q14" s="4">
        <f t="shared" si="1"/>
        <v>101.65396341463415</v>
      </c>
    </row>
    <row r="15" spans="1:17" x14ac:dyDescent="0.25">
      <c r="A15" s="2" t="s">
        <v>15</v>
      </c>
      <c r="B15" s="2" t="s">
        <v>56</v>
      </c>
      <c r="C15" s="2" t="s">
        <v>384</v>
      </c>
      <c r="D15" s="3">
        <v>30</v>
      </c>
      <c r="E15" s="3">
        <v>20</v>
      </c>
      <c r="F15" s="6">
        <v>600</v>
      </c>
      <c r="G15" s="2"/>
      <c r="H15" s="2" t="s">
        <v>286</v>
      </c>
      <c r="I15" s="2" t="s">
        <v>291</v>
      </c>
      <c r="J15" s="2" t="s">
        <v>308</v>
      </c>
      <c r="K15" s="2"/>
      <c r="L15" s="2"/>
      <c r="M15" s="2"/>
      <c r="N15" s="2">
        <v>120</v>
      </c>
      <c r="O15" s="4">
        <v>69598</v>
      </c>
      <c r="P15" s="5">
        <f t="shared" si="0"/>
        <v>0.5799833333333333</v>
      </c>
      <c r="Q15" s="4">
        <f t="shared" si="1"/>
        <v>115.99666666666667</v>
      </c>
    </row>
    <row r="16" spans="1:17" x14ac:dyDescent="0.25">
      <c r="A16" s="2" t="s">
        <v>15</v>
      </c>
      <c r="B16" s="2" t="s">
        <v>57</v>
      </c>
      <c r="C16" s="2" t="s">
        <v>384</v>
      </c>
      <c r="D16" s="3">
        <v>37.5</v>
      </c>
      <c r="E16" s="3">
        <v>20</v>
      </c>
      <c r="F16" s="6">
        <v>750</v>
      </c>
      <c r="G16" s="2"/>
      <c r="H16" s="2" t="s">
        <v>286</v>
      </c>
      <c r="I16" s="2" t="s">
        <v>291</v>
      </c>
      <c r="J16" s="2" t="s">
        <v>309</v>
      </c>
      <c r="K16" s="2"/>
      <c r="L16" s="2"/>
      <c r="M16" s="2"/>
      <c r="N16" s="2">
        <v>156</v>
      </c>
      <c r="O16" s="4">
        <v>83948</v>
      </c>
      <c r="P16" s="5">
        <f t="shared" si="0"/>
        <v>0.53812820512820514</v>
      </c>
      <c r="Q16" s="4">
        <f t="shared" si="1"/>
        <v>111.93066666666667</v>
      </c>
    </row>
    <row r="17" spans="1:17" x14ac:dyDescent="0.25">
      <c r="A17" s="2" t="s">
        <v>15</v>
      </c>
      <c r="B17" s="2" t="s">
        <v>58</v>
      </c>
      <c r="C17" s="2" t="s">
        <v>384</v>
      </c>
      <c r="D17" s="3">
        <v>45</v>
      </c>
      <c r="E17" s="3">
        <v>20</v>
      </c>
      <c r="F17" s="6">
        <v>900</v>
      </c>
      <c r="G17" s="2"/>
      <c r="H17" s="2" t="s">
        <v>286</v>
      </c>
      <c r="I17" s="2" t="s">
        <v>291</v>
      </c>
      <c r="J17" s="2" t="s">
        <v>310</v>
      </c>
      <c r="K17" s="2"/>
      <c r="L17" s="2"/>
      <c r="M17" s="2"/>
      <c r="N17" s="2">
        <v>186</v>
      </c>
      <c r="O17" s="4">
        <v>98469</v>
      </c>
      <c r="P17" s="5">
        <f t="shared" si="0"/>
        <v>0.5294032258064516</v>
      </c>
      <c r="Q17" s="4">
        <f t="shared" si="1"/>
        <v>109.41</v>
      </c>
    </row>
    <row r="18" spans="1:17" x14ac:dyDescent="0.25">
      <c r="A18" s="2" t="s">
        <v>15</v>
      </c>
      <c r="B18" s="2" t="s">
        <v>59</v>
      </c>
      <c r="C18" s="2" t="s">
        <v>384</v>
      </c>
      <c r="D18" s="3">
        <v>52.5</v>
      </c>
      <c r="E18" s="3">
        <v>20</v>
      </c>
      <c r="F18" s="6">
        <v>1050</v>
      </c>
      <c r="G18" s="2"/>
      <c r="H18" s="2" t="s">
        <v>286</v>
      </c>
      <c r="I18" s="2" t="s">
        <v>291</v>
      </c>
      <c r="J18" s="2" t="s">
        <v>311</v>
      </c>
      <c r="K18" s="2"/>
      <c r="L18" s="2"/>
      <c r="M18" s="2"/>
      <c r="N18" s="2">
        <v>215</v>
      </c>
      <c r="O18" s="4">
        <v>113659</v>
      </c>
      <c r="P18" s="5">
        <f t="shared" si="0"/>
        <v>0.52864651162790699</v>
      </c>
      <c r="Q18" s="4">
        <f t="shared" si="1"/>
        <v>108.24666666666667</v>
      </c>
    </row>
    <row r="19" spans="1:17" x14ac:dyDescent="0.25">
      <c r="A19" s="2" t="s">
        <v>15</v>
      </c>
      <c r="B19" s="2" t="s">
        <v>60</v>
      </c>
      <c r="C19" s="2" t="s">
        <v>384</v>
      </c>
      <c r="D19" s="3">
        <v>60</v>
      </c>
      <c r="E19" s="3">
        <v>20</v>
      </c>
      <c r="F19" s="6">
        <v>1200</v>
      </c>
      <c r="G19" s="2"/>
      <c r="H19" s="2" t="s">
        <v>286</v>
      </c>
      <c r="I19" s="2" t="s">
        <v>291</v>
      </c>
      <c r="J19" s="2" t="s">
        <v>312</v>
      </c>
      <c r="K19" s="2"/>
      <c r="L19" s="2"/>
      <c r="M19" s="2"/>
      <c r="N19" s="2">
        <v>245</v>
      </c>
      <c r="O19" s="4">
        <v>128366</v>
      </c>
      <c r="P19" s="5">
        <f t="shared" si="0"/>
        <v>0.52394285714285715</v>
      </c>
      <c r="Q19" s="4">
        <f t="shared" si="1"/>
        <v>106.97166666666666</v>
      </c>
    </row>
    <row r="20" spans="1:17" x14ac:dyDescent="0.25">
      <c r="A20" s="2" t="s">
        <v>15</v>
      </c>
      <c r="B20" s="2" t="s">
        <v>61</v>
      </c>
      <c r="C20" s="2" t="s">
        <v>384</v>
      </c>
      <c r="D20" s="3">
        <v>67.5</v>
      </c>
      <c r="E20" s="3">
        <v>20</v>
      </c>
      <c r="F20" s="6">
        <v>1350</v>
      </c>
      <c r="G20" s="2"/>
      <c r="H20" s="2" t="s">
        <v>286</v>
      </c>
      <c r="I20" s="2" t="s">
        <v>291</v>
      </c>
      <c r="J20" s="2" t="s">
        <v>313</v>
      </c>
      <c r="K20" s="2"/>
      <c r="L20" s="2"/>
      <c r="M20" s="2"/>
      <c r="N20" s="2">
        <v>282</v>
      </c>
      <c r="O20" s="4">
        <v>142888</v>
      </c>
      <c r="P20" s="5">
        <f t="shared" si="0"/>
        <v>0.50669503546099293</v>
      </c>
      <c r="Q20" s="4">
        <f t="shared" si="1"/>
        <v>105.84296296296296</v>
      </c>
    </row>
    <row r="21" spans="1:17" x14ac:dyDescent="0.25">
      <c r="A21" s="2" t="s">
        <v>15</v>
      </c>
      <c r="B21" s="2" t="s">
        <v>62</v>
      </c>
      <c r="C21" s="2" t="s">
        <v>384</v>
      </c>
      <c r="D21" s="3">
        <v>75</v>
      </c>
      <c r="E21" s="3">
        <v>20</v>
      </c>
      <c r="F21" s="6">
        <v>1500</v>
      </c>
      <c r="G21" s="2"/>
      <c r="H21" s="2" t="s">
        <v>286</v>
      </c>
      <c r="I21" s="2" t="s">
        <v>291</v>
      </c>
      <c r="J21" s="2" t="s">
        <v>314</v>
      </c>
      <c r="K21" s="2"/>
      <c r="L21" s="2"/>
      <c r="M21" s="2"/>
      <c r="N21" s="2">
        <v>312</v>
      </c>
      <c r="O21" s="4">
        <v>157238</v>
      </c>
      <c r="P21" s="5">
        <f t="shared" si="0"/>
        <v>0.5039679487179487</v>
      </c>
      <c r="Q21" s="4">
        <f t="shared" si="1"/>
        <v>104.82533333333333</v>
      </c>
    </row>
    <row r="22" spans="1:17" x14ac:dyDescent="0.25">
      <c r="A22" s="2" t="s">
        <v>15</v>
      </c>
      <c r="B22" s="2" t="s">
        <v>63</v>
      </c>
      <c r="C22" s="2" t="s">
        <v>384</v>
      </c>
      <c r="D22" s="3">
        <v>82.5</v>
      </c>
      <c r="E22" s="3">
        <v>20</v>
      </c>
      <c r="F22" s="6">
        <v>1650</v>
      </c>
      <c r="G22" s="2"/>
      <c r="H22" s="2" t="s">
        <v>286</v>
      </c>
      <c r="I22" s="2" t="s">
        <v>291</v>
      </c>
      <c r="J22" s="2" t="s">
        <v>315</v>
      </c>
      <c r="K22" s="2"/>
      <c r="L22" s="2"/>
      <c r="M22" s="2"/>
      <c r="N22" s="2">
        <v>342</v>
      </c>
      <c r="O22" s="4">
        <v>171759</v>
      </c>
      <c r="P22" s="5">
        <f t="shared" si="0"/>
        <v>0.50221929824561407</v>
      </c>
      <c r="Q22" s="4">
        <f t="shared" si="1"/>
        <v>104.09636363636363</v>
      </c>
    </row>
    <row r="23" spans="1:17" x14ac:dyDescent="0.25">
      <c r="A23" s="2" t="s">
        <v>15</v>
      </c>
      <c r="B23" s="2" t="s">
        <v>64</v>
      </c>
      <c r="C23" s="2" t="s">
        <v>384</v>
      </c>
      <c r="D23" s="3">
        <v>90</v>
      </c>
      <c r="E23" s="3">
        <v>20</v>
      </c>
      <c r="F23" s="6">
        <v>1800</v>
      </c>
      <c r="G23" s="2"/>
      <c r="H23" s="2" t="s">
        <v>286</v>
      </c>
      <c r="I23" s="2" t="s">
        <v>291</v>
      </c>
      <c r="J23" s="2" t="s">
        <v>316</v>
      </c>
      <c r="K23" s="2"/>
      <c r="L23" s="2"/>
      <c r="M23" s="2"/>
      <c r="N23" s="2">
        <v>372</v>
      </c>
      <c r="O23" s="4">
        <v>186109</v>
      </c>
      <c r="P23" s="5">
        <f t="shared" si="0"/>
        <v>0.50029301075268817</v>
      </c>
      <c r="Q23" s="4">
        <f t="shared" si="1"/>
        <v>103.3938888888889</v>
      </c>
    </row>
    <row r="24" spans="1:17" x14ac:dyDescent="0.25">
      <c r="A24" s="2" t="s">
        <v>15</v>
      </c>
      <c r="B24" s="2" t="s">
        <v>65</v>
      </c>
      <c r="C24" s="2" t="s">
        <v>384</v>
      </c>
      <c r="D24" s="3">
        <v>97.5</v>
      </c>
      <c r="E24" s="3">
        <v>20</v>
      </c>
      <c r="F24" s="6">
        <v>1950</v>
      </c>
      <c r="G24" s="2"/>
      <c r="H24" s="2" t="s">
        <v>286</v>
      </c>
      <c r="I24" s="2" t="s">
        <v>291</v>
      </c>
      <c r="J24" s="2" t="s">
        <v>317</v>
      </c>
      <c r="K24" s="2"/>
      <c r="L24" s="2"/>
      <c r="M24" s="2"/>
      <c r="N24" s="2">
        <v>409</v>
      </c>
      <c r="O24" s="4">
        <v>200816</v>
      </c>
      <c r="P24" s="5">
        <f t="shared" si="0"/>
        <v>0.49099266503667482</v>
      </c>
      <c r="Q24" s="4">
        <f t="shared" si="1"/>
        <v>102.9825641025641</v>
      </c>
    </row>
    <row r="25" spans="1:17" x14ac:dyDescent="0.25">
      <c r="A25" s="2" t="s">
        <v>15</v>
      </c>
      <c r="B25" s="2" t="s">
        <v>66</v>
      </c>
      <c r="C25" s="2" t="s">
        <v>384</v>
      </c>
      <c r="D25" s="3">
        <v>105</v>
      </c>
      <c r="E25" s="3">
        <v>20</v>
      </c>
      <c r="F25" s="6">
        <v>2100</v>
      </c>
      <c r="G25" s="2"/>
      <c r="H25" s="2" t="s">
        <v>286</v>
      </c>
      <c r="I25" s="2" t="s">
        <v>291</v>
      </c>
      <c r="J25" s="2" t="s">
        <v>318</v>
      </c>
      <c r="K25" s="2"/>
      <c r="L25" s="2"/>
      <c r="M25" s="2"/>
      <c r="N25" s="2">
        <v>438</v>
      </c>
      <c r="O25" s="4">
        <v>217969</v>
      </c>
      <c r="P25" s="5">
        <f t="shared" si="0"/>
        <v>0.49764611872146119</v>
      </c>
      <c r="Q25" s="4">
        <f t="shared" si="1"/>
        <v>103.7947619047619</v>
      </c>
    </row>
    <row r="26" spans="1:17" x14ac:dyDescent="0.25">
      <c r="A26" s="2" t="s">
        <v>15</v>
      </c>
      <c r="B26" s="2" t="s">
        <v>67</v>
      </c>
      <c r="C26" s="2" t="s">
        <v>384</v>
      </c>
      <c r="D26" s="3">
        <v>112.5</v>
      </c>
      <c r="E26" s="3">
        <v>20</v>
      </c>
      <c r="F26" s="6">
        <v>2250</v>
      </c>
      <c r="G26" s="2"/>
      <c r="H26" s="2" t="s">
        <v>286</v>
      </c>
      <c r="I26" s="2" t="s">
        <v>291</v>
      </c>
      <c r="J26" s="2" t="s">
        <v>319</v>
      </c>
      <c r="K26" s="2"/>
      <c r="L26" s="2"/>
      <c r="M26" s="2"/>
      <c r="N26" s="2">
        <v>468</v>
      </c>
      <c r="O26" s="4">
        <v>233159</v>
      </c>
      <c r="P26" s="5">
        <f t="shared" si="0"/>
        <v>0.49820299145299146</v>
      </c>
      <c r="Q26" s="4">
        <f t="shared" si="1"/>
        <v>103.62622222222222</v>
      </c>
    </row>
    <row r="27" spans="1:17" x14ac:dyDescent="0.25">
      <c r="A27" s="2" t="s">
        <v>15</v>
      </c>
      <c r="B27" s="2" t="s">
        <v>68</v>
      </c>
      <c r="C27" s="2" t="s">
        <v>384</v>
      </c>
      <c r="D27" s="3">
        <v>120</v>
      </c>
      <c r="E27" s="3">
        <v>20</v>
      </c>
      <c r="F27" s="6">
        <v>2400</v>
      </c>
      <c r="G27" s="2"/>
      <c r="H27" s="2" t="s">
        <v>286</v>
      </c>
      <c r="I27" s="2" t="s">
        <v>291</v>
      </c>
      <c r="J27" s="2" t="s">
        <v>320</v>
      </c>
      <c r="K27" s="2"/>
      <c r="L27" s="2"/>
      <c r="M27" s="2"/>
      <c r="N27" s="2">
        <v>498</v>
      </c>
      <c r="O27" s="4">
        <v>247680</v>
      </c>
      <c r="P27" s="5">
        <f t="shared" si="0"/>
        <v>0.49734939759036145</v>
      </c>
      <c r="Q27" s="4">
        <f t="shared" si="1"/>
        <v>103.2</v>
      </c>
    </row>
    <row r="28" spans="1:17" x14ac:dyDescent="0.25">
      <c r="A28" s="2" t="s">
        <v>16</v>
      </c>
      <c r="B28" s="2" t="s">
        <v>69</v>
      </c>
      <c r="C28" s="2" t="s">
        <v>385</v>
      </c>
      <c r="D28" s="3">
        <v>30</v>
      </c>
      <c r="E28" s="3">
        <v>25.5</v>
      </c>
      <c r="F28" s="6">
        <v>765</v>
      </c>
      <c r="G28" s="2" t="s">
        <v>267</v>
      </c>
      <c r="H28" s="2" t="s">
        <v>286</v>
      </c>
      <c r="I28" s="2" t="s">
        <v>292</v>
      </c>
      <c r="J28" s="2" t="s">
        <v>308</v>
      </c>
      <c r="K28" s="2"/>
      <c r="L28" s="2"/>
      <c r="M28" s="2"/>
      <c r="N28" s="2">
        <v>169</v>
      </c>
      <c r="O28" s="4">
        <v>80756</v>
      </c>
      <c r="P28" s="5">
        <f t="shared" si="0"/>
        <v>0.47784615384615386</v>
      </c>
      <c r="Q28" s="4">
        <f t="shared" si="1"/>
        <v>105.56339869281045</v>
      </c>
    </row>
    <row r="29" spans="1:17" x14ac:dyDescent="0.25">
      <c r="A29" s="2" t="s">
        <v>16</v>
      </c>
      <c r="B29" s="2" t="s">
        <v>70</v>
      </c>
      <c r="C29" s="2" t="s">
        <v>385</v>
      </c>
      <c r="D29" s="3">
        <v>37.5</v>
      </c>
      <c r="E29" s="3">
        <v>25.5</v>
      </c>
      <c r="F29" s="6">
        <v>956</v>
      </c>
      <c r="G29" s="2" t="s">
        <v>267</v>
      </c>
      <c r="H29" s="2" t="s">
        <v>286</v>
      </c>
      <c r="I29" s="2" t="s">
        <v>292</v>
      </c>
      <c r="J29" s="2" t="s">
        <v>309</v>
      </c>
      <c r="K29" s="2"/>
      <c r="L29" s="2"/>
      <c r="M29" s="2"/>
      <c r="N29" s="2">
        <v>214</v>
      </c>
      <c r="O29" s="4">
        <v>97152</v>
      </c>
      <c r="P29" s="5">
        <f t="shared" si="0"/>
        <v>0.45398130841121498</v>
      </c>
      <c r="Q29" s="4">
        <f t="shared" si="1"/>
        <v>101.62343096234309</v>
      </c>
    </row>
    <row r="30" spans="1:17" x14ac:dyDescent="0.25">
      <c r="A30" s="2" t="s">
        <v>16</v>
      </c>
      <c r="B30" s="2" t="s">
        <v>71</v>
      </c>
      <c r="C30" s="2" t="s">
        <v>385</v>
      </c>
      <c r="D30" s="3">
        <v>45</v>
      </c>
      <c r="E30" s="3">
        <v>25.5</v>
      </c>
      <c r="F30" s="6">
        <v>1147</v>
      </c>
      <c r="G30" s="2" t="s">
        <v>267</v>
      </c>
      <c r="H30" s="2" t="s">
        <v>286</v>
      </c>
      <c r="I30" s="2" t="s">
        <v>292</v>
      </c>
      <c r="J30" s="2" t="s">
        <v>310</v>
      </c>
      <c r="K30" s="2"/>
      <c r="L30" s="2"/>
      <c r="M30" s="2"/>
      <c r="N30" s="2">
        <v>255</v>
      </c>
      <c r="O30" s="4">
        <v>113905</v>
      </c>
      <c r="P30" s="5">
        <f t="shared" si="0"/>
        <v>0.44668627450980392</v>
      </c>
      <c r="Q30" s="4">
        <f t="shared" si="1"/>
        <v>99.306887532693978</v>
      </c>
    </row>
    <row r="31" spans="1:17" x14ac:dyDescent="0.25">
      <c r="A31" s="2" t="s">
        <v>16</v>
      </c>
      <c r="B31" s="2" t="s">
        <v>72</v>
      </c>
      <c r="C31" s="2" t="s">
        <v>385</v>
      </c>
      <c r="D31" s="3">
        <v>52.5</v>
      </c>
      <c r="E31" s="3">
        <v>25.5</v>
      </c>
      <c r="F31" s="6">
        <v>1339</v>
      </c>
      <c r="G31" s="2" t="s">
        <v>267</v>
      </c>
      <c r="H31" s="2" t="s">
        <v>286</v>
      </c>
      <c r="I31" s="2" t="s">
        <v>292</v>
      </c>
      <c r="J31" s="2" t="s">
        <v>311</v>
      </c>
      <c r="K31" s="2"/>
      <c r="L31" s="2"/>
      <c r="M31" s="2"/>
      <c r="N31" s="2">
        <v>296</v>
      </c>
      <c r="O31" s="4">
        <v>130657</v>
      </c>
      <c r="P31" s="5">
        <f t="shared" si="0"/>
        <v>0.44140878378378379</v>
      </c>
      <c r="Q31" s="4">
        <f t="shared" si="1"/>
        <v>97.578043315907394</v>
      </c>
    </row>
    <row r="32" spans="1:17" x14ac:dyDescent="0.25">
      <c r="A32" s="2" t="s">
        <v>16</v>
      </c>
      <c r="B32" s="2" t="s">
        <v>73</v>
      </c>
      <c r="C32" s="2" t="s">
        <v>385</v>
      </c>
      <c r="D32" s="3">
        <v>60</v>
      </c>
      <c r="E32" s="3">
        <v>25.5</v>
      </c>
      <c r="F32" s="6">
        <v>1530</v>
      </c>
      <c r="G32" s="2" t="s">
        <v>267</v>
      </c>
      <c r="H32" s="2" t="s">
        <v>286</v>
      </c>
      <c r="I32" s="2" t="s">
        <v>292</v>
      </c>
      <c r="J32" s="2" t="s">
        <v>312</v>
      </c>
      <c r="K32" s="2"/>
      <c r="L32" s="2"/>
      <c r="M32" s="2"/>
      <c r="N32" s="2">
        <v>338</v>
      </c>
      <c r="O32" s="4">
        <v>148250</v>
      </c>
      <c r="P32" s="5">
        <f t="shared" si="0"/>
        <v>0.43860946745562129</v>
      </c>
      <c r="Q32" s="4">
        <f t="shared" si="1"/>
        <v>96.895424836601308</v>
      </c>
    </row>
    <row r="33" spans="1:17" x14ac:dyDescent="0.25">
      <c r="A33" s="2" t="s">
        <v>16</v>
      </c>
      <c r="B33" s="2" t="s">
        <v>74</v>
      </c>
      <c r="C33" s="2" t="s">
        <v>385</v>
      </c>
      <c r="D33" s="3">
        <v>67.5</v>
      </c>
      <c r="E33" s="3">
        <v>25.5</v>
      </c>
      <c r="F33" s="6">
        <v>1721</v>
      </c>
      <c r="G33" s="2" t="s">
        <v>267</v>
      </c>
      <c r="H33" s="2" t="s">
        <v>286</v>
      </c>
      <c r="I33" s="2" t="s">
        <v>292</v>
      </c>
      <c r="J33" s="2" t="s">
        <v>313</v>
      </c>
      <c r="K33" s="2"/>
      <c r="L33" s="2"/>
      <c r="M33" s="2"/>
      <c r="N33" s="2">
        <v>388</v>
      </c>
      <c r="O33" s="4">
        <v>165002</v>
      </c>
      <c r="P33" s="5">
        <f t="shared" si="0"/>
        <v>0.42526288659793815</v>
      </c>
      <c r="Q33" s="4">
        <f t="shared" si="1"/>
        <v>95.875653689715278</v>
      </c>
    </row>
    <row r="34" spans="1:17" x14ac:dyDescent="0.25">
      <c r="A34" s="2" t="s">
        <v>16</v>
      </c>
      <c r="B34" s="2" t="s">
        <v>75</v>
      </c>
      <c r="C34" s="2" t="s">
        <v>385</v>
      </c>
      <c r="D34" s="3">
        <v>75</v>
      </c>
      <c r="E34" s="3">
        <v>25.5</v>
      </c>
      <c r="F34" s="6">
        <v>1912</v>
      </c>
      <c r="G34" s="2" t="s">
        <v>267</v>
      </c>
      <c r="H34" s="2" t="s">
        <v>286</v>
      </c>
      <c r="I34" s="2" t="s">
        <v>292</v>
      </c>
      <c r="J34" s="2" t="s">
        <v>314</v>
      </c>
      <c r="K34" s="2"/>
      <c r="L34" s="2"/>
      <c r="M34" s="2"/>
      <c r="N34" s="2">
        <v>429</v>
      </c>
      <c r="O34" s="4">
        <v>181583</v>
      </c>
      <c r="P34" s="5">
        <f t="shared" si="0"/>
        <v>0.42327039627039625</v>
      </c>
      <c r="Q34" s="4">
        <f t="shared" si="1"/>
        <v>94.970188284518827</v>
      </c>
    </row>
    <row r="35" spans="1:17" x14ac:dyDescent="0.25">
      <c r="A35" s="2" t="s">
        <v>16</v>
      </c>
      <c r="B35" s="2" t="s">
        <v>76</v>
      </c>
      <c r="C35" s="2" t="s">
        <v>385</v>
      </c>
      <c r="D35" s="3">
        <v>82.5</v>
      </c>
      <c r="E35" s="3">
        <v>25.5</v>
      </c>
      <c r="F35" s="6">
        <v>2104</v>
      </c>
      <c r="G35" s="2" t="s">
        <v>267</v>
      </c>
      <c r="H35" s="2" t="s">
        <v>286</v>
      </c>
      <c r="I35" s="2" t="s">
        <v>292</v>
      </c>
      <c r="J35" s="2" t="s">
        <v>315</v>
      </c>
      <c r="K35" s="2"/>
      <c r="L35" s="2"/>
      <c r="M35" s="2"/>
      <c r="N35" s="2">
        <v>470</v>
      </c>
      <c r="O35" s="4">
        <v>198336</v>
      </c>
      <c r="P35" s="5">
        <f t="shared" si="0"/>
        <v>0.42199148936170211</v>
      </c>
      <c r="Q35" s="4">
        <f t="shared" si="1"/>
        <v>94.266159695817493</v>
      </c>
    </row>
    <row r="36" spans="1:17" x14ac:dyDescent="0.25">
      <c r="A36" s="2" t="s">
        <v>16</v>
      </c>
      <c r="B36" s="2" t="s">
        <v>77</v>
      </c>
      <c r="C36" s="2" t="s">
        <v>385</v>
      </c>
      <c r="D36" s="3">
        <v>90</v>
      </c>
      <c r="E36" s="3">
        <v>25.5</v>
      </c>
      <c r="F36" s="6">
        <v>2295</v>
      </c>
      <c r="G36" s="2" t="s">
        <v>267</v>
      </c>
      <c r="H36" s="2" t="s">
        <v>286</v>
      </c>
      <c r="I36" s="2" t="s">
        <v>292</v>
      </c>
      <c r="J36" s="2" t="s">
        <v>316</v>
      </c>
      <c r="K36" s="2"/>
      <c r="L36" s="2"/>
      <c r="M36" s="2"/>
      <c r="N36" s="2">
        <v>511</v>
      </c>
      <c r="O36" s="4">
        <v>215088</v>
      </c>
      <c r="P36" s="5">
        <f t="shared" si="0"/>
        <v>0.42091585127201564</v>
      </c>
      <c r="Q36" s="4">
        <f t="shared" si="1"/>
        <v>93.720261437908491</v>
      </c>
    </row>
    <row r="37" spans="1:17" x14ac:dyDescent="0.25">
      <c r="A37" s="2" t="s">
        <v>17</v>
      </c>
      <c r="B37" s="2" t="s">
        <v>78</v>
      </c>
      <c r="C37" s="2" t="s">
        <v>386</v>
      </c>
      <c r="D37" s="3">
        <v>30</v>
      </c>
      <c r="E37" s="3">
        <v>29</v>
      </c>
      <c r="F37" s="6">
        <v>870</v>
      </c>
      <c r="G37" s="2" t="s">
        <v>268</v>
      </c>
      <c r="H37" s="2" t="s">
        <v>286</v>
      </c>
      <c r="I37" s="2" t="s">
        <v>293</v>
      </c>
      <c r="J37" s="2" t="s">
        <v>308</v>
      </c>
      <c r="K37" s="2"/>
      <c r="L37" s="2"/>
      <c r="M37" s="2"/>
      <c r="N37" s="2">
        <v>193</v>
      </c>
      <c r="O37" s="4">
        <v>92159</v>
      </c>
      <c r="P37" s="5">
        <f t="shared" si="0"/>
        <v>0.47750777202072536</v>
      </c>
      <c r="Q37" s="4">
        <f t="shared" si="1"/>
        <v>105.92988505747127</v>
      </c>
    </row>
    <row r="38" spans="1:17" x14ac:dyDescent="0.25">
      <c r="A38" s="2" t="s">
        <v>17</v>
      </c>
      <c r="B38" s="2" t="s">
        <v>79</v>
      </c>
      <c r="C38" s="2" t="s">
        <v>386</v>
      </c>
      <c r="D38" s="3">
        <v>37.5</v>
      </c>
      <c r="E38" s="3">
        <v>29</v>
      </c>
      <c r="F38" s="6">
        <v>1087</v>
      </c>
      <c r="G38" s="2" t="s">
        <v>268</v>
      </c>
      <c r="H38" s="2" t="s">
        <v>286</v>
      </c>
      <c r="I38" s="2" t="s">
        <v>293</v>
      </c>
      <c r="J38" s="2" t="s">
        <v>309</v>
      </c>
      <c r="K38" s="2"/>
      <c r="L38" s="2"/>
      <c r="M38" s="2"/>
      <c r="N38" s="2">
        <v>244</v>
      </c>
      <c r="O38" s="4">
        <v>111617</v>
      </c>
      <c r="P38" s="5">
        <f t="shared" si="0"/>
        <v>0.4574467213114754</v>
      </c>
      <c r="Q38" s="4">
        <f t="shared" si="1"/>
        <v>102.68353265869365</v>
      </c>
    </row>
    <row r="39" spans="1:17" x14ac:dyDescent="0.25">
      <c r="A39" s="2" t="s">
        <v>17</v>
      </c>
      <c r="B39" s="2" t="s">
        <v>80</v>
      </c>
      <c r="C39" s="2" t="s">
        <v>386</v>
      </c>
      <c r="D39" s="3">
        <v>45</v>
      </c>
      <c r="E39" s="3">
        <v>29</v>
      </c>
      <c r="F39" s="6">
        <v>1305</v>
      </c>
      <c r="G39" s="2" t="s">
        <v>268</v>
      </c>
      <c r="H39" s="2" t="s">
        <v>286</v>
      </c>
      <c r="I39" s="2" t="s">
        <v>293</v>
      </c>
      <c r="J39" s="2" t="s">
        <v>310</v>
      </c>
      <c r="K39" s="2"/>
      <c r="L39" s="2"/>
      <c r="M39" s="2"/>
      <c r="N39" s="2">
        <v>290</v>
      </c>
      <c r="O39" s="4">
        <v>132086</v>
      </c>
      <c r="P39" s="5">
        <f t="shared" si="0"/>
        <v>0.45546896551724136</v>
      </c>
      <c r="Q39" s="4">
        <f t="shared" si="1"/>
        <v>101.21532567049809</v>
      </c>
    </row>
    <row r="40" spans="1:17" x14ac:dyDescent="0.25">
      <c r="A40" s="2" t="s">
        <v>17</v>
      </c>
      <c r="B40" s="2" t="s">
        <v>81</v>
      </c>
      <c r="C40" s="2" t="s">
        <v>386</v>
      </c>
      <c r="D40" s="3">
        <v>52.5</v>
      </c>
      <c r="E40" s="3">
        <v>29</v>
      </c>
      <c r="F40" s="6">
        <v>1522</v>
      </c>
      <c r="G40" s="2" t="s">
        <v>268</v>
      </c>
      <c r="H40" s="2" t="s">
        <v>286</v>
      </c>
      <c r="I40" s="2" t="s">
        <v>293</v>
      </c>
      <c r="J40" s="2" t="s">
        <v>311</v>
      </c>
      <c r="K40" s="2"/>
      <c r="L40" s="2"/>
      <c r="M40" s="2"/>
      <c r="N40" s="2">
        <v>337</v>
      </c>
      <c r="O40" s="4">
        <v>151901</v>
      </c>
      <c r="P40" s="5">
        <f t="shared" si="0"/>
        <v>0.45074480712166171</v>
      </c>
      <c r="Q40" s="4">
        <f t="shared" si="1"/>
        <v>99.803547963206313</v>
      </c>
    </row>
    <row r="41" spans="1:17" x14ac:dyDescent="0.25">
      <c r="A41" s="2" t="s">
        <v>17</v>
      </c>
      <c r="B41" s="2" t="s">
        <v>82</v>
      </c>
      <c r="C41" s="2" t="s">
        <v>386</v>
      </c>
      <c r="D41" s="3">
        <v>60</v>
      </c>
      <c r="E41" s="3">
        <v>29</v>
      </c>
      <c r="F41" s="6">
        <v>1740</v>
      </c>
      <c r="G41" s="2" t="s">
        <v>268</v>
      </c>
      <c r="H41" s="2" t="s">
        <v>286</v>
      </c>
      <c r="I41" s="2" t="s">
        <v>293</v>
      </c>
      <c r="J41" s="2" t="s">
        <v>312</v>
      </c>
      <c r="K41" s="2"/>
      <c r="L41" s="2"/>
      <c r="M41" s="2"/>
      <c r="N41" s="2">
        <v>386</v>
      </c>
      <c r="O41" s="4">
        <v>171359</v>
      </c>
      <c r="P41" s="5">
        <f t="shared" si="0"/>
        <v>0.44393523316062178</v>
      </c>
      <c r="Q41" s="4">
        <f t="shared" si="1"/>
        <v>98.482183908045982</v>
      </c>
    </row>
    <row r="42" spans="1:17" x14ac:dyDescent="0.25">
      <c r="A42" s="2" t="s">
        <v>17</v>
      </c>
      <c r="B42" s="2" t="s">
        <v>83</v>
      </c>
      <c r="C42" s="2" t="s">
        <v>386</v>
      </c>
      <c r="D42" s="3">
        <v>67.5</v>
      </c>
      <c r="E42" s="3">
        <v>29</v>
      </c>
      <c r="F42" s="6">
        <v>1957</v>
      </c>
      <c r="G42" s="2" t="s">
        <v>268</v>
      </c>
      <c r="H42" s="2" t="s">
        <v>286</v>
      </c>
      <c r="I42" s="2" t="s">
        <v>293</v>
      </c>
      <c r="J42" s="2" t="s">
        <v>313</v>
      </c>
      <c r="K42" s="2"/>
      <c r="L42" s="2"/>
      <c r="M42" s="2"/>
      <c r="N42" s="2">
        <v>441</v>
      </c>
      <c r="O42" s="4">
        <v>190988</v>
      </c>
      <c r="P42" s="5">
        <f t="shared" si="0"/>
        <v>0.43307936507936506</v>
      </c>
      <c r="Q42" s="4">
        <f t="shared" si="1"/>
        <v>97.592233009708735</v>
      </c>
    </row>
    <row r="43" spans="1:17" x14ac:dyDescent="0.25">
      <c r="A43" s="2" t="s">
        <v>17</v>
      </c>
      <c r="B43" s="2" t="s">
        <v>84</v>
      </c>
      <c r="C43" s="2" t="s">
        <v>386</v>
      </c>
      <c r="D43" s="3">
        <v>75</v>
      </c>
      <c r="E43" s="3">
        <v>29</v>
      </c>
      <c r="F43" s="6">
        <v>2175</v>
      </c>
      <c r="G43" s="2" t="s">
        <v>268</v>
      </c>
      <c r="H43" s="2" t="s">
        <v>286</v>
      </c>
      <c r="I43" s="2" t="s">
        <v>293</v>
      </c>
      <c r="J43" s="2" t="s">
        <v>314</v>
      </c>
      <c r="K43" s="2"/>
      <c r="L43" s="2"/>
      <c r="M43" s="2"/>
      <c r="N43" s="2">
        <v>488</v>
      </c>
      <c r="O43" s="4">
        <v>210803</v>
      </c>
      <c r="P43" s="5">
        <f t="shared" si="0"/>
        <v>0.43197336065573771</v>
      </c>
      <c r="Q43" s="4">
        <f t="shared" si="1"/>
        <v>96.920919540229889</v>
      </c>
    </row>
    <row r="44" spans="1:17" x14ac:dyDescent="0.25">
      <c r="A44" s="2" t="s">
        <v>18</v>
      </c>
      <c r="B44" s="2" t="s">
        <v>85</v>
      </c>
      <c r="C44" s="2" t="s">
        <v>387</v>
      </c>
      <c r="D44" s="3">
        <v>30</v>
      </c>
      <c r="E44" s="3">
        <v>24.3</v>
      </c>
      <c r="F44" s="6">
        <v>729</v>
      </c>
      <c r="G44" s="2" t="s">
        <v>269</v>
      </c>
      <c r="H44" s="2" t="s">
        <v>287</v>
      </c>
      <c r="I44" s="2" t="s">
        <v>294</v>
      </c>
      <c r="J44" s="2" t="s">
        <v>308</v>
      </c>
      <c r="K44" s="2"/>
      <c r="L44" s="2"/>
      <c r="M44" s="2"/>
      <c r="N44" s="2">
        <v>157</v>
      </c>
      <c r="O44" s="4">
        <v>79955</v>
      </c>
      <c r="P44" s="5">
        <f t="shared" si="0"/>
        <v>0.50926751592356689</v>
      </c>
      <c r="Q44" s="4">
        <f t="shared" si="1"/>
        <v>109.67764060356653</v>
      </c>
    </row>
    <row r="45" spans="1:17" x14ac:dyDescent="0.25">
      <c r="A45" s="2" t="s">
        <v>18</v>
      </c>
      <c r="B45" s="2" t="s">
        <v>86</v>
      </c>
      <c r="C45" s="2" t="s">
        <v>387</v>
      </c>
      <c r="D45" s="3">
        <v>37.5</v>
      </c>
      <c r="E45" s="3">
        <v>24.3</v>
      </c>
      <c r="F45" s="6">
        <v>911</v>
      </c>
      <c r="G45" s="2" t="s">
        <v>269</v>
      </c>
      <c r="H45" s="2" t="s">
        <v>287</v>
      </c>
      <c r="I45" s="2" t="s">
        <v>294</v>
      </c>
      <c r="J45" s="2" t="s">
        <v>309</v>
      </c>
      <c r="K45" s="2"/>
      <c r="L45" s="2"/>
      <c r="M45" s="2"/>
      <c r="N45" s="2">
        <v>195</v>
      </c>
      <c r="O45" s="4">
        <v>96398</v>
      </c>
      <c r="P45" s="5">
        <f t="shared" si="0"/>
        <v>0.49434871794871793</v>
      </c>
      <c r="Q45" s="4">
        <f t="shared" si="1"/>
        <v>105.81558726673984</v>
      </c>
    </row>
    <row r="46" spans="1:17" x14ac:dyDescent="0.25">
      <c r="A46" s="2" t="s">
        <v>18</v>
      </c>
      <c r="B46" s="2" t="s">
        <v>87</v>
      </c>
      <c r="C46" s="2" t="s">
        <v>387</v>
      </c>
      <c r="D46" s="3">
        <v>45</v>
      </c>
      <c r="E46" s="3">
        <v>24.3</v>
      </c>
      <c r="F46" s="6">
        <v>1094</v>
      </c>
      <c r="G46" s="2" t="s">
        <v>269</v>
      </c>
      <c r="H46" s="2" t="s">
        <v>287</v>
      </c>
      <c r="I46" s="2" t="s">
        <v>294</v>
      </c>
      <c r="J46" s="2" t="s">
        <v>310</v>
      </c>
      <c r="K46" s="2"/>
      <c r="L46" s="2"/>
      <c r="M46" s="2"/>
      <c r="N46" s="2">
        <v>235</v>
      </c>
      <c r="O46" s="4">
        <v>112826</v>
      </c>
      <c r="P46" s="5">
        <f t="shared" si="0"/>
        <v>0.48011063829787232</v>
      </c>
      <c r="Q46" s="4">
        <f t="shared" si="1"/>
        <v>103.13162705667276</v>
      </c>
    </row>
    <row r="47" spans="1:17" x14ac:dyDescent="0.25">
      <c r="A47" s="2" t="s">
        <v>18</v>
      </c>
      <c r="B47" s="2" t="s">
        <v>88</v>
      </c>
      <c r="C47" s="2" t="s">
        <v>387</v>
      </c>
      <c r="D47" s="3">
        <v>52.5</v>
      </c>
      <c r="E47" s="3">
        <v>24.3</v>
      </c>
      <c r="F47" s="6">
        <v>1276</v>
      </c>
      <c r="G47" s="2" t="s">
        <v>269</v>
      </c>
      <c r="H47" s="2" t="s">
        <v>287</v>
      </c>
      <c r="I47" s="2" t="s">
        <v>294</v>
      </c>
      <c r="J47" s="2" t="s">
        <v>311</v>
      </c>
      <c r="K47" s="2"/>
      <c r="L47" s="2"/>
      <c r="M47" s="2"/>
      <c r="N47" s="2">
        <v>272</v>
      </c>
      <c r="O47" s="4">
        <v>129269</v>
      </c>
      <c r="P47" s="5">
        <f t="shared" si="0"/>
        <v>0.47525367647058825</v>
      </c>
      <c r="Q47" s="4">
        <f t="shared" si="1"/>
        <v>101.30799373040752</v>
      </c>
    </row>
    <row r="48" spans="1:17" x14ac:dyDescent="0.25">
      <c r="A48" s="2" t="s">
        <v>18</v>
      </c>
      <c r="B48" s="2" t="s">
        <v>89</v>
      </c>
      <c r="C48" s="2" t="s">
        <v>387</v>
      </c>
      <c r="D48" s="3">
        <v>60</v>
      </c>
      <c r="E48" s="3">
        <v>24.3</v>
      </c>
      <c r="F48" s="6">
        <v>1458</v>
      </c>
      <c r="G48" s="2" t="s">
        <v>269</v>
      </c>
      <c r="H48" s="2" t="s">
        <v>287</v>
      </c>
      <c r="I48" s="2" t="s">
        <v>294</v>
      </c>
      <c r="J48" s="2" t="s">
        <v>312</v>
      </c>
      <c r="K48" s="2"/>
      <c r="L48" s="2"/>
      <c r="M48" s="2"/>
      <c r="N48" s="2">
        <v>314</v>
      </c>
      <c r="O48" s="4">
        <v>146366</v>
      </c>
      <c r="P48" s="5">
        <f t="shared" si="0"/>
        <v>0.46613375796178341</v>
      </c>
      <c r="Q48" s="4">
        <f t="shared" si="1"/>
        <v>100.38820301783265</v>
      </c>
    </row>
    <row r="49" spans="1:17" x14ac:dyDescent="0.25">
      <c r="A49" s="2" t="s">
        <v>18</v>
      </c>
      <c r="B49" s="2" t="s">
        <v>90</v>
      </c>
      <c r="C49" s="2" t="s">
        <v>387</v>
      </c>
      <c r="D49" s="3">
        <v>67.5</v>
      </c>
      <c r="E49" s="3">
        <v>24.3</v>
      </c>
      <c r="F49" s="6">
        <v>1640</v>
      </c>
      <c r="G49" s="2" t="s">
        <v>269</v>
      </c>
      <c r="H49" s="2" t="s">
        <v>287</v>
      </c>
      <c r="I49" s="2" t="s">
        <v>294</v>
      </c>
      <c r="J49" s="2" t="s">
        <v>313</v>
      </c>
      <c r="K49" s="2"/>
      <c r="L49" s="2"/>
      <c r="M49" s="2"/>
      <c r="N49" s="2">
        <v>356</v>
      </c>
      <c r="O49" s="4">
        <v>162980</v>
      </c>
      <c r="P49" s="5">
        <f t="shared" si="0"/>
        <v>0.45780898876404497</v>
      </c>
      <c r="Q49" s="4">
        <f t="shared" si="1"/>
        <v>99.378048780487802</v>
      </c>
    </row>
    <row r="50" spans="1:17" x14ac:dyDescent="0.25">
      <c r="A50" s="2" t="s">
        <v>18</v>
      </c>
      <c r="B50" s="2" t="s">
        <v>91</v>
      </c>
      <c r="C50" s="2" t="s">
        <v>387</v>
      </c>
      <c r="D50" s="3">
        <v>75</v>
      </c>
      <c r="E50" s="3">
        <v>24.3</v>
      </c>
      <c r="F50" s="6">
        <v>1823</v>
      </c>
      <c r="G50" s="2" t="s">
        <v>269</v>
      </c>
      <c r="H50" s="2" t="s">
        <v>287</v>
      </c>
      <c r="I50" s="2" t="s">
        <v>294</v>
      </c>
      <c r="J50" s="2" t="s">
        <v>314</v>
      </c>
      <c r="K50" s="2"/>
      <c r="L50" s="2"/>
      <c r="M50" s="2"/>
      <c r="N50" s="2">
        <v>392</v>
      </c>
      <c r="O50" s="4">
        <v>179237</v>
      </c>
      <c r="P50" s="5">
        <f t="shared" si="0"/>
        <v>0.45723724489795919</v>
      </c>
      <c r="Q50" s="4">
        <f t="shared" si="1"/>
        <v>98.319802523313214</v>
      </c>
    </row>
    <row r="51" spans="1:17" x14ac:dyDescent="0.25">
      <c r="A51" s="2" t="s">
        <v>18</v>
      </c>
      <c r="B51" s="2" t="s">
        <v>92</v>
      </c>
      <c r="C51" s="2" t="s">
        <v>387</v>
      </c>
      <c r="D51" s="3">
        <v>82.5</v>
      </c>
      <c r="E51" s="3">
        <v>24.3</v>
      </c>
      <c r="F51" s="6">
        <v>2005</v>
      </c>
      <c r="G51" s="2" t="s">
        <v>269</v>
      </c>
      <c r="H51" s="2" t="s">
        <v>287</v>
      </c>
      <c r="I51" s="2" t="s">
        <v>294</v>
      </c>
      <c r="J51" s="2" t="s">
        <v>315</v>
      </c>
      <c r="K51" s="2"/>
      <c r="L51" s="2"/>
      <c r="M51" s="2"/>
      <c r="N51" s="2">
        <v>435</v>
      </c>
      <c r="O51" s="4">
        <v>195851</v>
      </c>
      <c r="P51" s="5">
        <f t="shared" si="0"/>
        <v>0.45023218390804598</v>
      </c>
      <c r="Q51" s="4">
        <f t="shared" si="1"/>
        <v>97.681296758104736</v>
      </c>
    </row>
    <row r="52" spans="1:17" x14ac:dyDescent="0.25">
      <c r="A52" s="2" t="s">
        <v>18</v>
      </c>
      <c r="B52" s="2" t="s">
        <v>93</v>
      </c>
      <c r="C52" s="2" t="s">
        <v>387</v>
      </c>
      <c r="D52" s="3">
        <v>90</v>
      </c>
      <c r="E52" s="3">
        <v>24.3</v>
      </c>
      <c r="F52" s="6">
        <v>2187</v>
      </c>
      <c r="G52" s="2" t="s">
        <v>269</v>
      </c>
      <c r="H52" s="2" t="s">
        <v>287</v>
      </c>
      <c r="I52" s="2" t="s">
        <v>294</v>
      </c>
      <c r="J52" s="2" t="s">
        <v>316</v>
      </c>
      <c r="K52" s="2"/>
      <c r="L52" s="2"/>
      <c r="M52" s="2"/>
      <c r="N52" s="2">
        <v>471</v>
      </c>
      <c r="O52" s="4">
        <v>212108</v>
      </c>
      <c r="P52" s="5">
        <f t="shared" si="0"/>
        <v>0.45033545647558387</v>
      </c>
      <c r="Q52" s="4">
        <f t="shared" si="1"/>
        <v>96.985825331504344</v>
      </c>
    </row>
    <row r="53" spans="1:17" x14ac:dyDescent="0.25">
      <c r="A53" s="2" t="s">
        <v>19</v>
      </c>
      <c r="B53" s="2" t="s">
        <v>94</v>
      </c>
      <c r="C53" s="2" t="s">
        <v>388</v>
      </c>
      <c r="D53" s="3">
        <v>30</v>
      </c>
      <c r="E53" s="3">
        <v>28</v>
      </c>
      <c r="F53" s="6">
        <v>840</v>
      </c>
      <c r="G53" s="2" t="s">
        <v>270</v>
      </c>
      <c r="H53" s="2" t="s">
        <v>287</v>
      </c>
      <c r="I53" s="2" t="s">
        <v>295</v>
      </c>
      <c r="J53" s="2" t="s">
        <v>308</v>
      </c>
      <c r="K53" s="2"/>
      <c r="L53" s="2"/>
      <c r="M53" s="2"/>
      <c r="N53" s="2">
        <v>181</v>
      </c>
      <c r="O53" s="4">
        <v>89261</v>
      </c>
      <c r="P53" s="5">
        <f t="shared" si="0"/>
        <v>0.49315469613259666</v>
      </c>
      <c r="Q53" s="4">
        <f t="shared" si="1"/>
        <v>106.26309523809523</v>
      </c>
    </row>
    <row r="54" spans="1:17" x14ac:dyDescent="0.25">
      <c r="A54" s="2" t="s">
        <v>19</v>
      </c>
      <c r="B54" s="2" t="s">
        <v>95</v>
      </c>
      <c r="C54" s="2" t="s">
        <v>388</v>
      </c>
      <c r="D54" s="3">
        <v>37.5</v>
      </c>
      <c r="E54" s="3">
        <v>28</v>
      </c>
      <c r="F54" s="6">
        <v>1050</v>
      </c>
      <c r="G54" s="2" t="s">
        <v>270</v>
      </c>
      <c r="H54" s="2" t="s">
        <v>287</v>
      </c>
      <c r="I54" s="2" t="s">
        <v>295</v>
      </c>
      <c r="J54" s="2" t="s">
        <v>309</v>
      </c>
      <c r="K54" s="2"/>
      <c r="L54" s="2"/>
      <c r="M54" s="2"/>
      <c r="N54" s="2">
        <v>224</v>
      </c>
      <c r="O54" s="4">
        <v>108539</v>
      </c>
      <c r="P54" s="5">
        <f t="shared" si="0"/>
        <v>0.48454910714285715</v>
      </c>
      <c r="Q54" s="4">
        <f t="shared" si="1"/>
        <v>103.3704761904762</v>
      </c>
    </row>
    <row r="55" spans="1:17" x14ac:dyDescent="0.25">
      <c r="A55" s="2" t="s">
        <v>19</v>
      </c>
      <c r="B55" s="2" t="s">
        <v>96</v>
      </c>
      <c r="C55" s="2" t="s">
        <v>388</v>
      </c>
      <c r="D55" s="3">
        <v>45</v>
      </c>
      <c r="E55" s="3">
        <v>28</v>
      </c>
      <c r="F55" s="6">
        <v>1260</v>
      </c>
      <c r="G55" s="2" t="s">
        <v>270</v>
      </c>
      <c r="H55" s="2" t="s">
        <v>287</v>
      </c>
      <c r="I55" s="2" t="s">
        <v>295</v>
      </c>
      <c r="J55" s="2" t="s">
        <v>310</v>
      </c>
      <c r="K55" s="2"/>
      <c r="L55" s="2"/>
      <c r="M55" s="2"/>
      <c r="N55" s="2">
        <v>272</v>
      </c>
      <c r="O55" s="4">
        <v>128657</v>
      </c>
      <c r="P55" s="5">
        <f t="shared" si="0"/>
        <v>0.47300367647058822</v>
      </c>
      <c r="Q55" s="4">
        <f t="shared" si="1"/>
        <v>102.10873015873015</v>
      </c>
    </row>
    <row r="56" spans="1:17" x14ac:dyDescent="0.25">
      <c r="A56" s="2" t="s">
        <v>19</v>
      </c>
      <c r="B56" s="2" t="s">
        <v>97</v>
      </c>
      <c r="C56" s="2" t="s">
        <v>388</v>
      </c>
      <c r="D56" s="3">
        <v>52.5</v>
      </c>
      <c r="E56" s="3">
        <v>28</v>
      </c>
      <c r="F56" s="6">
        <v>1470</v>
      </c>
      <c r="G56" s="2" t="s">
        <v>270</v>
      </c>
      <c r="H56" s="2" t="s">
        <v>287</v>
      </c>
      <c r="I56" s="2" t="s">
        <v>295</v>
      </c>
      <c r="J56" s="2" t="s">
        <v>311</v>
      </c>
      <c r="K56" s="2"/>
      <c r="L56" s="2"/>
      <c r="M56" s="2"/>
      <c r="N56" s="2">
        <v>313</v>
      </c>
      <c r="O56" s="4">
        <v>148107</v>
      </c>
      <c r="P56" s="5">
        <f t="shared" si="0"/>
        <v>0.47318530351437699</v>
      </c>
      <c r="Q56" s="4">
        <f t="shared" si="1"/>
        <v>100.7530612244898</v>
      </c>
    </row>
    <row r="57" spans="1:17" x14ac:dyDescent="0.25">
      <c r="A57" s="2" t="s">
        <v>19</v>
      </c>
      <c r="B57" s="2" t="s">
        <v>98</v>
      </c>
      <c r="C57" s="2" t="s">
        <v>388</v>
      </c>
      <c r="D57" s="3">
        <v>60</v>
      </c>
      <c r="E57" s="3">
        <v>28</v>
      </c>
      <c r="F57" s="6">
        <v>1680</v>
      </c>
      <c r="G57" s="2" t="s">
        <v>270</v>
      </c>
      <c r="H57" s="2" t="s">
        <v>287</v>
      </c>
      <c r="I57" s="2" t="s">
        <v>295</v>
      </c>
      <c r="J57" s="2" t="s">
        <v>312</v>
      </c>
      <c r="K57" s="2"/>
      <c r="L57" s="2"/>
      <c r="M57" s="2"/>
      <c r="N57" s="2">
        <v>362</v>
      </c>
      <c r="O57" s="4">
        <v>167385</v>
      </c>
      <c r="P57" s="5">
        <f t="shared" si="0"/>
        <v>0.46238950276243096</v>
      </c>
      <c r="Q57" s="4">
        <f t="shared" si="1"/>
        <v>99.633928571428569</v>
      </c>
    </row>
    <row r="58" spans="1:17" x14ac:dyDescent="0.25">
      <c r="A58" s="2" t="s">
        <v>19</v>
      </c>
      <c r="B58" s="2" t="s">
        <v>99</v>
      </c>
      <c r="C58" s="2" t="s">
        <v>388</v>
      </c>
      <c r="D58" s="3">
        <v>67.5</v>
      </c>
      <c r="E58" s="3">
        <v>28</v>
      </c>
      <c r="F58" s="6">
        <v>1890</v>
      </c>
      <c r="G58" s="2" t="s">
        <v>270</v>
      </c>
      <c r="H58" s="2" t="s">
        <v>287</v>
      </c>
      <c r="I58" s="2" t="s">
        <v>295</v>
      </c>
      <c r="J58" s="2" t="s">
        <v>313</v>
      </c>
      <c r="K58" s="2"/>
      <c r="L58" s="2"/>
      <c r="M58" s="2"/>
      <c r="N58" s="2">
        <v>411</v>
      </c>
      <c r="O58" s="4">
        <v>186633</v>
      </c>
      <c r="P58" s="5">
        <f t="shared" si="0"/>
        <v>0.45409489051094892</v>
      </c>
      <c r="Q58" s="4">
        <f t="shared" si="1"/>
        <v>98.747619047619054</v>
      </c>
    </row>
    <row r="59" spans="1:17" x14ac:dyDescent="0.25">
      <c r="A59" s="2" t="s">
        <v>19</v>
      </c>
      <c r="B59" s="2" t="s">
        <v>100</v>
      </c>
      <c r="C59" s="2" t="s">
        <v>388</v>
      </c>
      <c r="D59" s="3">
        <v>75</v>
      </c>
      <c r="E59" s="3">
        <v>28</v>
      </c>
      <c r="F59" s="6">
        <v>2100</v>
      </c>
      <c r="G59" s="2" t="s">
        <v>270</v>
      </c>
      <c r="H59" s="2" t="s">
        <v>287</v>
      </c>
      <c r="I59" s="2" t="s">
        <v>295</v>
      </c>
      <c r="J59" s="2" t="s">
        <v>314</v>
      </c>
      <c r="K59" s="2"/>
      <c r="L59" s="2"/>
      <c r="M59" s="2"/>
      <c r="N59" s="2">
        <v>453</v>
      </c>
      <c r="O59" s="4">
        <v>205942</v>
      </c>
      <c r="P59" s="5">
        <f t="shared" si="0"/>
        <v>0.45461810154525384</v>
      </c>
      <c r="Q59" s="4">
        <f t="shared" si="1"/>
        <v>98.067619047619047</v>
      </c>
    </row>
    <row r="60" spans="1:17" x14ac:dyDescent="0.25">
      <c r="A60" s="2" t="s">
        <v>19</v>
      </c>
      <c r="B60" s="2" t="s">
        <v>101</v>
      </c>
      <c r="C60" s="2" t="s">
        <v>388</v>
      </c>
      <c r="D60" s="3">
        <v>82.5</v>
      </c>
      <c r="E60" s="3">
        <v>28</v>
      </c>
      <c r="F60" s="6">
        <v>2310</v>
      </c>
      <c r="G60" s="2" t="s">
        <v>270</v>
      </c>
      <c r="H60" s="2" t="s">
        <v>287</v>
      </c>
      <c r="I60" s="2" t="s">
        <v>295</v>
      </c>
      <c r="J60" s="2" t="s">
        <v>315</v>
      </c>
      <c r="K60" s="2"/>
      <c r="L60" s="2"/>
      <c r="M60" s="2"/>
      <c r="N60" s="2">
        <v>502</v>
      </c>
      <c r="O60" s="4">
        <v>225391</v>
      </c>
      <c r="P60" s="5">
        <f t="shared" si="0"/>
        <v>0.44898605577689243</v>
      </c>
      <c r="Q60" s="4">
        <f t="shared" si="1"/>
        <v>97.571861471861467</v>
      </c>
    </row>
    <row r="61" spans="1:17" x14ac:dyDescent="0.25">
      <c r="A61" s="2" t="s">
        <v>20</v>
      </c>
      <c r="B61" s="2" t="s">
        <v>102</v>
      </c>
      <c r="C61" s="2" t="s">
        <v>389</v>
      </c>
      <c r="D61" s="3">
        <v>30</v>
      </c>
      <c r="E61" s="3">
        <v>32</v>
      </c>
      <c r="F61" s="6">
        <v>960</v>
      </c>
      <c r="G61" s="2" t="s">
        <v>271</v>
      </c>
      <c r="H61" s="2" t="s">
        <v>287</v>
      </c>
      <c r="I61" s="2" t="s">
        <v>296</v>
      </c>
      <c r="J61" s="2" t="s">
        <v>308</v>
      </c>
      <c r="K61" s="2"/>
      <c r="L61" s="2"/>
      <c r="M61" s="2"/>
      <c r="N61" s="2">
        <v>205</v>
      </c>
      <c r="O61" s="4">
        <v>98816</v>
      </c>
      <c r="P61" s="5">
        <f t="shared" si="0"/>
        <v>0.48202926829268294</v>
      </c>
      <c r="Q61" s="4">
        <f t="shared" si="1"/>
        <v>102.93333333333334</v>
      </c>
    </row>
    <row r="62" spans="1:17" x14ac:dyDescent="0.25">
      <c r="A62" s="2" t="s">
        <v>20</v>
      </c>
      <c r="B62" s="2" t="s">
        <v>103</v>
      </c>
      <c r="C62" s="2" t="s">
        <v>389</v>
      </c>
      <c r="D62" s="3">
        <v>37.5</v>
      </c>
      <c r="E62" s="3">
        <v>32</v>
      </c>
      <c r="F62" s="6">
        <v>1200</v>
      </c>
      <c r="G62" s="2" t="s">
        <v>271</v>
      </c>
      <c r="H62" s="2" t="s">
        <v>287</v>
      </c>
      <c r="I62" s="2" t="s">
        <v>296</v>
      </c>
      <c r="J62" s="2" t="s">
        <v>309</v>
      </c>
      <c r="K62" s="2"/>
      <c r="L62" s="2"/>
      <c r="M62" s="2"/>
      <c r="N62" s="2">
        <v>253</v>
      </c>
      <c r="O62" s="4">
        <v>119521</v>
      </c>
      <c r="P62" s="5">
        <f t="shared" si="0"/>
        <v>0.47241501976284583</v>
      </c>
      <c r="Q62" s="4">
        <f t="shared" si="1"/>
        <v>99.600833333333327</v>
      </c>
    </row>
    <row r="63" spans="1:17" x14ac:dyDescent="0.25">
      <c r="A63" s="2" t="s">
        <v>20</v>
      </c>
      <c r="B63" s="2" t="s">
        <v>104</v>
      </c>
      <c r="C63" s="2" t="s">
        <v>389</v>
      </c>
      <c r="D63" s="3">
        <v>45</v>
      </c>
      <c r="E63" s="3">
        <v>32</v>
      </c>
      <c r="F63" s="6">
        <v>1440</v>
      </c>
      <c r="G63" s="2" t="s">
        <v>271</v>
      </c>
      <c r="H63" s="2" t="s">
        <v>287</v>
      </c>
      <c r="I63" s="2" t="s">
        <v>296</v>
      </c>
      <c r="J63" s="2" t="s">
        <v>310</v>
      </c>
      <c r="K63" s="2"/>
      <c r="L63" s="2"/>
      <c r="M63" s="2"/>
      <c r="N63" s="2">
        <v>308</v>
      </c>
      <c r="O63" s="4">
        <v>141201</v>
      </c>
      <c r="P63" s="5">
        <f t="shared" si="0"/>
        <v>0.45844480519480518</v>
      </c>
      <c r="Q63" s="4">
        <f t="shared" si="1"/>
        <v>98.056250000000006</v>
      </c>
    </row>
    <row r="64" spans="1:17" x14ac:dyDescent="0.25">
      <c r="A64" s="2" t="s">
        <v>20</v>
      </c>
      <c r="B64" s="2" t="s">
        <v>105</v>
      </c>
      <c r="C64" s="2" t="s">
        <v>389</v>
      </c>
      <c r="D64" s="3">
        <v>52.5</v>
      </c>
      <c r="E64" s="3">
        <v>32</v>
      </c>
      <c r="F64" s="6">
        <v>1680</v>
      </c>
      <c r="G64" s="2" t="s">
        <v>271</v>
      </c>
      <c r="H64" s="2" t="s">
        <v>287</v>
      </c>
      <c r="I64" s="2" t="s">
        <v>296</v>
      </c>
      <c r="J64" s="2" t="s">
        <v>311</v>
      </c>
      <c r="K64" s="2"/>
      <c r="L64" s="2"/>
      <c r="M64" s="2"/>
      <c r="N64" s="2">
        <v>355</v>
      </c>
      <c r="O64" s="4">
        <v>161856</v>
      </c>
      <c r="P64" s="5">
        <f t="shared" si="0"/>
        <v>0.4559323943661972</v>
      </c>
      <c r="Q64" s="4">
        <f t="shared" si="1"/>
        <v>96.342857142857142</v>
      </c>
    </row>
    <row r="65" spans="1:17" x14ac:dyDescent="0.25">
      <c r="A65" s="2" t="s">
        <v>20</v>
      </c>
      <c r="B65" s="2" t="s">
        <v>106</v>
      </c>
      <c r="C65" s="2" t="s">
        <v>389</v>
      </c>
      <c r="D65" s="3">
        <v>60</v>
      </c>
      <c r="E65" s="3">
        <v>32</v>
      </c>
      <c r="F65" s="6">
        <v>1920</v>
      </c>
      <c r="G65" s="2" t="s">
        <v>271</v>
      </c>
      <c r="H65" s="2" t="s">
        <v>287</v>
      </c>
      <c r="I65" s="2" t="s">
        <v>296</v>
      </c>
      <c r="J65" s="2" t="s">
        <v>312</v>
      </c>
      <c r="K65" s="2"/>
      <c r="L65" s="2"/>
      <c r="M65" s="2"/>
      <c r="N65" s="2">
        <v>411</v>
      </c>
      <c r="O65" s="4">
        <v>182696</v>
      </c>
      <c r="P65" s="5">
        <f t="shared" si="0"/>
        <v>0.44451581508515814</v>
      </c>
      <c r="Q65" s="4">
        <f t="shared" si="1"/>
        <v>95.154166666666669</v>
      </c>
    </row>
    <row r="66" spans="1:17" x14ac:dyDescent="0.25">
      <c r="A66" s="2" t="s">
        <v>20</v>
      </c>
      <c r="B66" s="2" t="s">
        <v>107</v>
      </c>
      <c r="C66" s="2" t="s">
        <v>389</v>
      </c>
      <c r="D66" s="3">
        <v>67.5</v>
      </c>
      <c r="E66" s="3">
        <v>32</v>
      </c>
      <c r="F66" s="6">
        <v>2160</v>
      </c>
      <c r="G66" s="2" t="s">
        <v>271</v>
      </c>
      <c r="H66" s="2" t="s">
        <v>287</v>
      </c>
      <c r="I66" s="2" t="s">
        <v>296</v>
      </c>
      <c r="J66" s="2" t="s">
        <v>313</v>
      </c>
      <c r="K66" s="2"/>
      <c r="L66" s="2"/>
      <c r="M66" s="2"/>
      <c r="N66" s="2">
        <v>466</v>
      </c>
      <c r="O66" s="4">
        <v>203708</v>
      </c>
      <c r="P66" s="5">
        <f t="shared" ref="P66:Q129" si="2">O66/(N66*1000)</f>
        <v>0.43714163090128755</v>
      </c>
      <c r="Q66" s="4">
        <f t="shared" si="1"/>
        <v>94.309259259259264</v>
      </c>
    </row>
    <row r="67" spans="1:17" x14ac:dyDescent="0.25">
      <c r="A67" s="2" t="s">
        <v>20</v>
      </c>
      <c r="B67" s="2" t="s">
        <v>108</v>
      </c>
      <c r="C67" s="2" t="s">
        <v>389</v>
      </c>
      <c r="D67" s="3">
        <v>75</v>
      </c>
      <c r="E67" s="3">
        <v>32</v>
      </c>
      <c r="F67" s="6">
        <v>2400</v>
      </c>
      <c r="G67" s="2" t="s">
        <v>271</v>
      </c>
      <c r="H67" s="2" t="s">
        <v>287</v>
      </c>
      <c r="I67" s="2" t="s">
        <v>296</v>
      </c>
      <c r="J67" s="2" t="s">
        <v>314</v>
      </c>
      <c r="K67" s="2"/>
      <c r="L67" s="2"/>
      <c r="M67" s="2"/>
      <c r="N67" s="2">
        <v>513</v>
      </c>
      <c r="O67" s="4">
        <v>224363</v>
      </c>
      <c r="P67" s="5">
        <f t="shared" si="2"/>
        <v>0.43735477582846005</v>
      </c>
      <c r="Q67" s="4">
        <f t="shared" ref="Q67:Q130" si="3">O67/F67</f>
        <v>93.484583333333333</v>
      </c>
    </row>
    <row r="68" spans="1:17" x14ac:dyDescent="0.25">
      <c r="A68" s="2" t="s">
        <v>21</v>
      </c>
      <c r="B68" s="2" t="s">
        <v>109</v>
      </c>
      <c r="C68" s="2" t="s">
        <v>390</v>
      </c>
      <c r="D68" s="3">
        <v>30</v>
      </c>
      <c r="E68" s="3">
        <v>35</v>
      </c>
      <c r="F68" s="6">
        <v>1050</v>
      </c>
      <c r="G68" s="2" t="s">
        <v>272</v>
      </c>
      <c r="H68" s="2" t="s">
        <v>287</v>
      </c>
      <c r="I68" s="2" t="s">
        <v>297</v>
      </c>
      <c r="J68" s="2" t="s">
        <v>308</v>
      </c>
      <c r="K68" s="2"/>
      <c r="L68" s="2"/>
      <c r="M68" s="2"/>
      <c r="N68" s="2">
        <v>229</v>
      </c>
      <c r="O68" s="4">
        <v>112591</v>
      </c>
      <c r="P68" s="5">
        <f t="shared" si="2"/>
        <v>0.49166375545851526</v>
      </c>
      <c r="Q68" s="4">
        <f t="shared" si="3"/>
        <v>107.22952380952381</v>
      </c>
    </row>
    <row r="69" spans="1:17" x14ac:dyDescent="0.25">
      <c r="A69" s="2" t="s">
        <v>21</v>
      </c>
      <c r="B69" s="2" t="s">
        <v>110</v>
      </c>
      <c r="C69" s="2" t="s">
        <v>390</v>
      </c>
      <c r="D69" s="3">
        <v>37.5</v>
      </c>
      <c r="E69" s="3">
        <v>35</v>
      </c>
      <c r="F69" s="6">
        <v>1312</v>
      </c>
      <c r="G69" s="2" t="s">
        <v>272</v>
      </c>
      <c r="H69" s="2" t="s">
        <v>287</v>
      </c>
      <c r="I69" s="2" t="s">
        <v>297</v>
      </c>
      <c r="J69" s="2" t="s">
        <v>309</v>
      </c>
      <c r="K69" s="2"/>
      <c r="L69" s="2"/>
      <c r="M69" s="2"/>
      <c r="N69" s="2">
        <v>292</v>
      </c>
      <c r="O69" s="4">
        <v>137009</v>
      </c>
      <c r="P69" s="5">
        <f t="shared" si="2"/>
        <v>0.46920890410958904</v>
      </c>
      <c r="Q69" s="4">
        <f t="shared" si="3"/>
        <v>104.42759146341463</v>
      </c>
    </row>
    <row r="70" spans="1:17" x14ac:dyDescent="0.25">
      <c r="A70" s="2" t="s">
        <v>21</v>
      </c>
      <c r="B70" s="2" t="s">
        <v>111</v>
      </c>
      <c r="C70" s="2" t="s">
        <v>390</v>
      </c>
      <c r="D70" s="3">
        <v>45</v>
      </c>
      <c r="E70" s="3">
        <v>35</v>
      </c>
      <c r="F70" s="6">
        <v>1575</v>
      </c>
      <c r="G70" s="2" t="s">
        <v>272</v>
      </c>
      <c r="H70" s="2" t="s">
        <v>287</v>
      </c>
      <c r="I70" s="2" t="s">
        <v>297</v>
      </c>
      <c r="J70" s="2" t="s">
        <v>310</v>
      </c>
      <c r="K70" s="2"/>
      <c r="L70" s="2"/>
      <c r="M70" s="2"/>
      <c r="N70" s="2">
        <v>348</v>
      </c>
      <c r="O70" s="4">
        <v>160944</v>
      </c>
      <c r="P70" s="5">
        <f t="shared" si="2"/>
        <v>0.46248275862068966</v>
      </c>
      <c r="Q70" s="4">
        <f t="shared" si="3"/>
        <v>102.18666666666667</v>
      </c>
    </row>
    <row r="71" spans="1:17" x14ac:dyDescent="0.25">
      <c r="A71" s="2" t="s">
        <v>21</v>
      </c>
      <c r="B71" s="2" t="s">
        <v>112</v>
      </c>
      <c r="C71" s="2" t="s">
        <v>390</v>
      </c>
      <c r="D71" s="3">
        <v>52.5</v>
      </c>
      <c r="E71" s="3">
        <v>35</v>
      </c>
      <c r="F71" s="6">
        <v>1837</v>
      </c>
      <c r="G71" s="2" t="s">
        <v>272</v>
      </c>
      <c r="H71" s="2" t="s">
        <v>287</v>
      </c>
      <c r="I71" s="2" t="s">
        <v>297</v>
      </c>
      <c r="J71" s="2" t="s">
        <v>311</v>
      </c>
      <c r="K71" s="2"/>
      <c r="L71" s="2"/>
      <c r="M71" s="2"/>
      <c r="N71" s="2">
        <v>404</v>
      </c>
      <c r="O71" s="4">
        <v>184879</v>
      </c>
      <c r="P71" s="5">
        <f t="shared" si="2"/>
        <v>0.45762128712871286</v>
      </c>
      <c r="Q71" s="4">
        <f t="shared" si="3"/>
        <v>100.6418072945019</v>
      </c>
    </row>
    <row r="72" spans="1:17" x14ac:dyDescent="0.25">
      <c r="A72" s="2" t="s">
        <v>21</v>
      </c>
      <c r="B72" s="2" t="s">
        <v>113</v>
      </c>
      <c r="C72" s="2" t="s">
        <v>390</v>
      </c>
      <c r="D72" s="3">
        <v>60</v>
      </c>
      <c r="E72" s="3">
        <v>35</v>
      </c>
      <c r="F72" s="6">
        <v>2100</v>
      </c>
      <c r="G72" s="2" t="s">
        <v>272</v>
      </c>
      <c r="H72" s="2" t="s">
        <v>287</v>
      </c>
      <c r="I72" s="2" t="s">
        <v>297</v>
      </c>
      <c r="J72" s="2" t="s">
        <v>312</v>
      </c>
      <c r="K72" s="2"/>
      <c r="L72" s="2"/>
      <c r="M72" s="2"/>
      <c r="N72" s="2">
        <v>460</v>
      </c>
      <c r="O72" s="4">
        <v>208814</v>
      </c>
      <c r="P72" s="5">
        <f t="shared" si="2"/>
        <v>0.45394347826086956</v>
      </c>
      <c r="Q72" s="4">
        <f t="shared" si="3"/>
        <v>99.435238095238091</v>
      </c>
    </row>
    <row r="73" spans="1:17" x14ac:dyDescent="0.25">
      <c r="A73" s="2" t="s">
        <v>22</v>
      </c>
      <c r="B73" s="2" t="s">
        <v>114</v>
      </c>
      <c r="C73" s="2" t="s">
        <v>391</v>
      </c>
      <c r="D73" s="3">
        <v>30</v>
      </c>
      <c r="E73" s="3">
        <v>39</v>
      </c>
      <c r="F73" s="6">
        <v>1170</v>
      </c>
      <c r="G73" s="2" t="s">
        <v>273</v>
      </c>
      <c r="H73" s="2" t="s">
        <v>287</v>
      </c>
      <c r="I73" s="2" t="s">
        <v>298</v>
      </c>
      <c r="J73" s="2" t="s">
        <v>308</v>
      </c>
      <c r="K73" s="2"/>
      <c r="L73" s="2"/>
      <c r="M73" s="2"/>
      <c r="N73" s="2">
        <v>253</v>
      </c>
      <c r="O73" s="4">
        <v>128832</v>
      </c>
      <c r="P73" s="5">
        <f t="shared" si="2"/>
        <v>0.50921739130434784</v>
      </c>
      <c r="Q73" s="4">
        <f t="shared" si="3"/>
        <v>110.11282051282052</v>
      </c>
    </row>
    <row r="74" spans="1:17" x14ac:dyDescent="0.25">
      <c r="A74" s="2" t="s">
        <v>22</v>
      </c>
      <c r="B74" s="2" t="s">
        <v>115</v>
      </c>
      <c r="C74" s="2" t="s">
        <v>391</v>
      </c>
      <c r="D74" s="3">
        <v>37.5</v>
      </c>
      <c r="E74" s="3">
        <v>39</v>
      </c>
      <c r="F74" s="6">
        <v>1462</v>
      </c>
      <c r="G74" s="2" t="s">
        <v>273</v>
      </c>
      <c r="H74" s="2" t="s">
        <v>287</v>
      </c>
      <c r="I74" s="2" t="s">
        <v>298</v>
      </c>
      <c r="J74" s="2" t="s">
        <v>309</v>
      </c>
      <c r="K74" s="2"/>
      <c r="L74" s="2"/>
      <c r="M74" s="2"/>
      <c r="N74" s="2">
        <v>322</v>
      </c>
      <c r="O74" s="4">
        <v>156388</v>
      </c>
      <c r="P74" s="5">
        <f t="shared" si="2"/>
        <v>0.48567701863354035</v>
      </c>
      <c r="Q74" s="4">
        <f t="shared" si="3"/>
        <v>106.96853625170999</v>
      </c>
    </row>
    <row r="75" spans="1:17" x14ac:dyDescent="0.25">
      <c r="A75" s="2" t="s">
        <v>22</v>
      </c>
      <c r="B75" s="2" t="s">
        <v>116</v>
      </c>
      <c r="C75" s="2" t="s">
        <v>391</v>
      </c>
      <c r="D75" s="3">
        <v>45</v>
      </c>
      <c r="E75" s="3">
        <v>39</v>
      </c>
      <c r="F75" s="6">
        <v>1755</v>
      </c>
      <c r="G75" s="2" t="s">
        <v>273</v>
      </c>
      <c r="H75" s="2" t="s">
        <v>287</v>
      </c>
      <c r="I75" s="2" t="s">
        <v>298</v>
      </c>
      <c r="J75" s="2" t="s">
        <v>310</v>
      </c>
      <c r="K75" s="2"/>
      <c r="L75" s="2"/>
      <c r="M75" s="2"/>
      <c r="N75" s="2">
        <v>383</v>
      </c>
      <c r="O75" s="4">
        <v>183586</v>
      </c>
      <c r="P75" s="5">
        <f t="shared" si="2"/>
        <v>0.47933681462140992</v>
      </c>
      <c r="Q75" s="4">
        <f t="shared" si="3"/>
        <v>104.60740740740741</v>
      </c>
    </row>
    <row r="76" spans="1:17" x14ac:dyDescent="0.25">
      <c r="A76" s="2" t="s">
        <v>22</v>
      </c>
      <c r="B76" s="2" t="s">
        <v>117</v>
      </c>
      <c r="C76" s="2" t="s">
        <v>391</v>
      </c>
      <c r="D76" s="3">
        <v>52.5</v>
      </c>
      <c r="E76" s="3">
        <v>39</v>
      </c>
      <c r="F76" s="6">
        <v>2047</v>
      </c>
      <c r="G76" s="2" t="s">
        <v>273</v>
      </c>
      <c r="H76" s="2" t="s">
        <v>287</v>
      </c>
      <c r="I76" s="2" t="s">
        <v>298</v>
      </c>
      <c r="J76" s="2" t="s">
        <v>311</v>
      </c>
      <c r="K76" s="2"/>
      <c r="L76" s="2"/>
      <c r="M76" s="2"/>
      <c r="N76" s="2">
        <v>445</v>
      </c>
      <c r="O76" s="4">
        <v>210956</v>
      </c>
      <c r="P76" s="5">
        <f t="shared" si="2"/>
        <v>0.47405842696629213</v>
      </c>
      <c r="Q76" s="4">
        <f t="shared" si="3"/>
        <v>103.0561797752809</v>
      </c>
    </row>
    <row r="77" spans="1:17" x14ac:dyDescent="0.25">
      <c r="A77" s="2" t="s">
        <v>22</v>
      </c>
      <c r="B77" s="2" t="s">
        <v>118</v>
      </c>
      <c r="C77" s="2" t="s">
        <v>391</v>
      </c>
      <c r="D77" s="3">
        <v>60</v>
      </c>
      <c r="E77" s="3">
        <v>39</v>
      </c>
      <c r="F77" s="6">
        <v>2340</v>
      </c>
      <c r="G77" s="2" t="s">
        <v>273</v>
      </c>
      <c r="H77" s="2" t="s">
        <v>287</v>
      </c>
      <c r="I77" s="2" t="s">
        <v>298</v>
      </c>
      <c r="J77" s="2" t="s">
        <v>312</v>
      </c>
      <c r="K77" s="2"/>
      <c r="L77" s="2"/>
      <c r="M77" s="2"/>
      <c r="N77" s="2">
        <v>507</v>
      </c>
      <c r="O77" s="4">
        <v>239351</v>
      </c>
      <c r="P77" s="5">
        <f t="shared" si="2"/>
        <v>0.47209270216962523</v>
      </c>
      <c r="Q77" s="4">
        <f t="shared" si="3"/>
        <v>102.28675213675214</v>
      </c>
    </row>
    <row r="78" spans="1:17" x14ac:dyDescent="0.25">
      <c r="A78" s="2" t="s">
        <v>23</v>
      </c>
      <c r="B78" s="2" t="s">
        <v>119</v>
      </c>
      <c r="C78" s="2" t="s">
        <v>392</v>
      </c>
      <c r="D78" s="3">
        <v>30</v>
      </c>
      <c r="E78" s="3">
        <v>43</v>
      </c>
      <c r="F78" s="6">
        <v>1290</v>
      </c>
      <c r="G78" s="2" t="s">
        <v>274</v>
      </c>
      <c r="H78" s="2" t="s">
        <v>287</v>
      </c>
      <c r="I78" s="2" t="s">
        <v>299</v>
      </c>
      <c r="J78" s="2" t="s">
        <v>308</v>
      </c>
      <c r="K78" s="2"/>
      <c r="L78" s="2"/>
      <c r="M78" s="2"/>
      <c r="N78" s="2">
        <v>278</v>
      </c>
      <c r="O78" s="4">
        <v>145992</v>
      </c>
      <c r="P78" s="5">
        <f t="shared" si="2"/>
        <v>0.52515107913669068</v>
      </c>
      <c r="Q78" s="4">
        <f t="shared" si="3"/>
        <v>113.17209302325581</v>
      </c>
    </row>
    <row r="79" spans="1:17" x14ac:dyDescent="0.25">
      <c r="A79" s="2" t="s">
        <v>23</v>
      </c>
      <c r="B79" s="2" t="s">
        <v>120</v>
      </c>
      <c r="C79" s="2" t="s">
        <v>392</v>
      </c>
      <c r="D79" s="3">
        <v>37.5</v>
      </c>
      <c r="E79" s="3">
        <v>43</v>
      </c>
      <c r="F79" s="6">
        <v>1612</v>
      </c>
      <c r="G79" s="2" t="s">
        <v>274</v>
      </c>
      <c r="H79" s="2" t="s">
        <v>287</v>
      </c>
      <c r="I79" s="2" t="s">
        <v>299</v>
      </c>
      <c r="J79" s="2" t="s">
        <v>309</v>
      </c>
      <c r="K79" s="2"/>
      <c r="L79" s="2"/>
      <c r="M79" s="2"/>
      <c r="N79" s="2">
        <v>351</v>
      </c>
      <c r="O79" s="4">
        <v>178101</v>
      </c>
      <c r="P79" s="5">
        <f t="shared" si="2"/>
        <v>0.50741025641025639</v>
      </c>
      <c r="Q79" s="4">
        <f t="shared" si="3"/>
        <v>110.48449131513648</v>
      </c>
    </row>
    <row r="80" spans="1:17" x14ac:dyDescent="0.25">
      <c r="A80" s="2" t="s">
        <v>23</v>
      </c>
      <c r="B80" s="2" t="s">
        <v>121</v>
      </c>
      <c r="C80" s="2" t="s">
        <v>392</v>
      </c>
      <c r="D80" s="3">
        <v>45</v>
      </c>
      <c r="E80" s="3">
        <v>43</v>
      </c>
      <c r="F80" s="6">
        <v>1935</v>
      </c>
      <c r="G80" s="2" t="s">
        <v>274</v>
      </c>
      <c r="H80" s="2" t="s">
        <v>287</v>
      </c>
      <c r="I80" s="2" t="s">
        <v>299</v>
      </c>
      <c r="J80" s="2" t="s">
        <v>310</v>
      </c>
      <c r="K80" s="2"/>
      <c r="L80" s="2"/>
      <c r="M80" s="2"/>
      <c r="N80" s="2">
        <v>418</v>
      </c>
      <c r="O80" s="4">
        <v>210040</v>
      </c>
      <c r="P80" s="5">
        <f t="shared" si="2"/>
        <v>0.50248803827751198</v>
      </c>
      <c r="Q80" s="4">
        <f t="shared" si="3"/>
        <v>108.54780361757106</v>
      </c>
    </row>
    <row r="81" spans="1:17" x14ac:dyDescent="0.25">
      <c r="A81" s="2" t="s">
        <v>23</v>
      </c>
      <c r="B81" s="2" t="s">
        <v>122</v>
      </c>
      <c r="C81" s="2" t="s">
        <v>392</v>
      </c>
      <c r="D81" s="3">
        <v>52.5</v>
      </c>
      <c r="E81" s="3">
        <v>43</v>
      </c>
      <c r="F81" s="6">
        <v>2257</v>
      </c>
      <c r="G81" s="2" t="s">
        <v>274</v>
      </c>
      <c r="H81" s="2" t="s">
        <v>287</v>
      </c>
      <c r="I81" s="2" t="s">
        <v>299</v>
      </c>
      <c r="J81" s="2" t="s">
        <v>311</v>
      </c>
      <c r="K81" s="2"/>
      <c r="L81" s="2"/>
      <c r="M81" s="2"/>
      <c r="N81" s="2">
        <v>485</v>
      </c>
      <c r="O81" s="4">
        <v>243175</v>
      </c>
      <c r="P81" s="5">
        <f t="shared" si="2"/>
        <v>0.5013917525773196</v>
      </c>
      <c r="Q81" s="4">
        <f t="shared" si="3"/>
        <v>107.74257864421799</v>
      </c>
    </row>
    <row r="82" spans="1:17" x14ac:dyDescent="0.25">
      <c r="A82" s="2" t="s">
        <v>24</v>
      </c>
      <c r="B82" s="2" t="s">
        <v>123</v>
      </c>
      <c r="C82" s="2" t="s">
        <v>394</v>
      </c>
      <c r="D82" s="3">
        <v>30</v>
      </c>
      <c r="E82" s="3" t="s">
        <v>325</v>
      </c>
      <c r="F82" s="6">
        <v>501</v>
      </c>
      <c r="G82" s="2"/>
      <c r="H82" s="2" t="s">
        <v>286</v>
      </c>
      <c r="I82" s="2" t="s">
        <v>300</v>
      </c>
      <c r="J82" s="2" t="s">
        <v>308</v>
      </c>
      <c r="K82" s="2" t="s">
        <v>321</v>
      </c>
      <c r="L82" s="2" t="s">
        <v>322</v>
      </c>
      <c r="M82" s="2"/>
      <c r="N82" s="2">
        <v>96</v>
      </c>
      <c r="O82" s="4">
        <v>57482</v>
      </c>
      <c r="P82" s="5">
        <f t="shared" si="2"/>
        <v>0.59877083333333336</v>
      </c>
      <c r="Q82" s="4">
        <f t="shared" si="3"/>
        <v>114.73453093812375</v>
      </c>
    </row>
    <row r="83" spans="1:17" x14ac:dyDescent="0.25">
      <c r="A83" s="2" t="s">
        <v>24</v>
      </c>
      <c r="B83" s="2" t="s">
        <v>124</v>
      </c>
      <c r="C83" s="2" t="s">
        <v>393</v>
      </c>
      <c r="D83" s="3">
        <v>30</v>
      </c>
      <c r="E83" s="3" t="s">
        <v>326</v>
      </c>
      <c r="F83" s="6">
        <v>621</v>
      </c>
      <c r="G83" s="2"/>
      <c r="H83" s="2" t="s">
        <v>286</v>
      </c>
      <c r="I83" s="2" t="s">
        <v>300</v>
      </c>
      <c r="J83" s="2" t="s">
        <v>308</v>
      </c>
      <c r="K83" s="2" t="s">
        <v>322</v>
      </c>
      <c r="L83" s="2" t="s">
        <v>322</v>
      </c>
      <c r="M83" s="2"/>
      <c r="N83" s="2">
        <v>120</v>
      </c>
      <c r="O83" s="4">
        <v>63651</v>
      </c>
      <c r="P83" s="5">
        <f t="shared" si="2"/>
        <v>0.53042500000000004</v>
      </c>
      <c r="Q83" s="4">
        <f t="shared" si="3"/>
        <v>102.49758454106281</v>
      </c>
    </row>
    <row r="84" spans="1:17" x14ac:dyDescent="0.25">
      <c r="A84" s="2" t="s">
        <v>24</v>
      </c>
      <c r="B84" s="2" t="s">
        <v>125</v>
      </c>
      <c r="C84" s="2" t="s">
        <v>394</v>
      </c>
      <c r="D84" s="3">
        <v>37.5</v>
      </c>
      <c r="E84" s="3" t="s">
        <v>325</v>
      </c>
      <c r="F84" s="6">
        <v>626</v>
      </c>
      <c r="G84" s="2"/>
      <c r="H84" s="2" t="s">
        <v>286</v>
      </c>
      <c r="I84" s="2" t="s">
        <v>300</v>
      </c>
      <c r="J84" s="2" t="s">
        <v>309</v>
      </c>
      <c r="K84" s="2" t="s">
        <v>321</v>
      </c>
      <c r="L84" s="2" t="s">
        <v>322</v>
      </c>
      <c r="M84" s="2"/>
      <c r="N84" s="2">
        <v>126</v>
      </c>
      <c r="O84" s="4">
        <v>69282</v>
      </c>
      <c r="P84" s="5">
        <f t="shared" si="2"/>
        <v>0.54985714285714282</v>
      </c>
      <c r="Q84" s="4">
        <f t="shared" si="3"/>
        <v>110.6741214057508</v>
      </c>
    </row>
    <row r="85" spans="1:17" x14ac:dyDescent="0.25">
      <c r="A85" s="2" t="s">
        <v>24</v>
      </c>
      <c r="B85" s="2" t="s">
        <v>126</v>
      </c>
      <c r="C85" s="2" t="s">
        <v>393</v>
      </c>
      <c r="D85" s="3">
        <v>37.5</v>
      </c>
      <c r="E85" s="3" t="s">
        <v>326</v>
      </c>
      <c r="F85" s="6">
        <v>776</v>
      </c>
      <c r="G85" s="2"/>
      <c r="H85" s="2" t="s">
        <v>286</v>
      </c>
      <c r="I85" s="2" t="s">
        <v>300</v>
      </c>
      <c r="J85" s="2" t="s">
        <v>309</v>
      </c>
      <c r="K85" s="2" t="s">
        <v>322</v>
      </c>
      <c r="L85" s="2" t="s">
        <v>322</v>
      </c>
      <c r="M85" s="2"/>
      <c r="N85" s="2">
        <v>156</v>
      </c>
      <c r="O85" s="4">
        <v>77068</v>
      </c>
      <c r="P85" s="5">
        <f t="shared" si="2"/>
        <v>0.494025641025641</v>
      </c>
      <c r="Q85" s="4">
        <f t="shared" si="3"/>
        <v>99.314432989690715</v>
      </c>
    </row>
    <row r="86" spans="1:17" x14ac:dyDescent="0.25">
      <c r="A86" s="2" t="s">
        <v>24</v>
      </c>
      <c r="B86" s="2" t="s">
        <v>127</v>
      </c>
      <c r="C86" s="2" t="s">
        <v>394</v>
      </c>
      <c r="D86" s="3">
        <v>45</v>
      </c>
      <c r="E86" s="3" t="s">
        <v>325</v>
      </c>
      <c r="F86" s="6">
        <v>751</v>
      </c>
      <c r="G86" s="2"/>
      <c r="H86" s="2" t="s">
        <v>286</v>
      </c>
      <c r="I86" s="2" t="s">
        <v>300</v>
      </c>
      <c r="J86" s="2" t="s">
        <v>310</v>
      </c>
      <c r="K86" s="2" t="s">
        <v>321</v>
      </c>
      <c r="L86" s="2" t="s">
        <v>322</v>
      </c>
      <c r="M86" s="2"/>
      <c r="N86" s="2">
        <v>151</v>
      </c>
      <c r="O86" s="4">
        <v>81253</v>
      </c>
      <c r="P86" s="5">
        <f t="shared" si="2"/>
        <v>0.5380993377483444</v>
      </c>
      <c r="Q86" s="4">
        <f t="shared" si="3"/>
        <v>108.1930758988016</v>
      </c>
    </row>
    <row r="87" spans="1:17" x14ac:dyDescent="0.25">
      <c r="A87" s="2" t="s">
        <v>24</v>
      </c>
      <c r="B87" s="2" t="s">
        <v>128</v>
      </c>
      <c r="C87" s="2" t="s">
        <v>393</v>
      </c>
      <c r="D87" s="3">
        <v>45</v>
      </c>
      <c r="E87" s="3" t="s">
        <v>326</v>
      </c>
      <c r="F87" s="6">
        <v>931</v>
      </c>
      <c r="G87" s="2"/>
      <c r="H87" s="2" t="s">
        <v>286</v>
      </c>
      <c r="I87" s="2" t="s">
        <v>300</v>
      </c>
      <c r="J87" s="2" t="s">
        <v>310</v>
      </c>
      <c r="K87" s="2" t="s">
        <v>322</v>
      </c>
      <c r="L87" s="2" t="s">
        <v>322</v>
      </c>
      <c r="M87" s="2"/>
      <c r="N87" s="2">
        <v>186</v>
      </c>
      <c r="O87" s="4">
        <v>90657</v>
      </c>
      <c r="P87" s="5">
        <f t="shared" si="2"/>
        <v>0.48740322580645162</v>
      </c>
      <c r="Q87" s="4">
        <f t="shared" si="3"/>
        <v>97.375939849624061</v>
      </c>
    </row>
    <row r="88" spans="1:17" x14ac:dyDescent="0.25">
      <c r="A88" s="2" t="s">
        <v>24</v>
      </c>
      <c r="B88" s="2" t="s">
        <v>129</v>
      </c>
      <c r="C88" s="2" t="s">
        <v>394</v>
      </c>
      <c r="D88" s="3">
        <v>52.5</v>
      </c>
      <c r="E88" s="3" t="s">
        <v>325</v>
      </c>
      <c r="F88" s="6">
        <v>877</v>
      </c>
      <c r="G88" s="2"/>
      <c r="H88" s="2" t="s">
        <v>286</v>
      </c>
      <c r="I88" s="2" t="s">
        <v>300</v>
      </c>
      <c r="J88" s="2" t="s">
        <v>311</v>
      </c>
      <c r="K88" s="2" t="s">
        <v>321</v>
      </c>
      <c r="L88" s="2" t="s">
        <v>322</v>
      </c>
      <c r="M88" s="2"/>
      <c r="N88" s="2">
        <v>175</v>
      </c>
      <c r="O88" s="4">
        <v>93225</v>
      </c>
      <c r="P88" s="5">
        <f t="shared" si="2"/>
        <v>0.5327142857142857</v>
      </c>
      <c r="Q88" s="4">
        <f t="shared" si="3"/>
        <v>106.29988597491447</v>
      </c>
    </row>
    <row r="89" spans="1:17" x14ac:dyDescent="0.25">
      <c r="A89" s="2" t="s">
        <v>24</v>
      </c>
      <c r="B89" s="2" t="s">
        <v>130</v>
      </c>
      <c r="C89" s="2" t="s">
        <v>393</v>
      </c>
      <c r="D89" s="3">
        <v>52.5</v>
      </c>
      <c r="E89" s="3" t="s">
        <v>326</v>
      </c>
      <c r="F89" s="6">
        <v>1087</v>
      </c>
      <c r="G89" s="2"/>
      <c r="H89" s="2" t="s">
        <v>286</v>
      </c>
      <c r="I89" s="2" t="s">
        <v>300</v>
      </c>
      <c r="J89" s="2" t="s">
        <v>311</v>
      </c>
      <c r="K89" s="2" t="s">
        <v>322</v>
      </c>
      <c r="L89" s="2" t="s">
        <v>322</v>
      </c>
      <c r="M89" s="2"/>
      <c r="N89" s="2">
        <v>215</v>
      </c>
      <c r="O89" s="4">
        <v>104061</v>
      </c>
      <c r="P89" s="5">
        <f t="shared" si="2"/>
        <v>0.48400465116279068</v>
      </c>
      <c r="Q89" s="4">
        <f t="shared" si="3"/>
        <v>95.732290708371664</v>
      </c>
    </row>
    <row r="90" spans="1:17" x14ac:dyDescent="0.25">
      <c r="A90" s="2" t="s">
        <v>24</v>
      </c>
      <c r="B90" s="2" t="s">
        <v>131</v>
      </c>
      <c r="C90" s="2" t="s">
        <v>394</v>
      </c>
      <c r="D90" s="3">
        <v>60</v>
      </c>
      <c r="E90" s="3" t="s">
        <v>325</v>
      </c>
      <c r="F90" s="6">
        <v>1002</v>
      </c>
      <c r="G90" s="2"/>
      <c r="H90" s="2" t="s">
        <v>286</v>
      </c>
      <c r="I90" s="2" t="s">
        <v>300</v>
      </c>
      <c r="J90" s="2" t="s">
        <v>312</v>
      </c>
      <c r="K90" s="2" t="s">
        <v>321</v>
      </c>
      <c r="L90" s="2" t="s">
        <v>322</v>
      </c>
      <c r="M90" s="2"/>
      <c r="N90" s="2">
        <v>199</v>
      </c>
      <c r="O90" s="4">
        <v>105196</v>
      </c>
      <c r="P90" s="5">
        <f t="shared" si="2"/>
        <v>0.52862311557788944</v>
      </c>
      <c r="Q90" s="4">
        <f t="shared" si="3"/>
        <v>104.98602794411178</v>
      </c>
    </row>
    <row r="91" spans="1:17" x14ac:dyDescent="0.25">
      <c r="A91" s="2" t="s">
        <v>24</v>
      </c>
      <c r="B91" s="2" t="s">
        <v>132</v>
      </c>
      <c r="C91" s="2" t="s">
        <v>393</v>
      </c>
      <c r="D91" s="3">
        <v>60</v>
      </c>
      <c r="E91" s="3" t="s">
        <v>326</v>
      </c>
      <c r="F91" s="6">
        <v>1242</v>
      </c>
      <c r="G91" s="2"/>
      <c r="H91" s="2" t="s">
        <v>286</v>
      </c>
      <c r="I91" s="2" t="s">
        <v>300</v>
      </c>
      <c r="J91" s="2" t="s">
        <v>312</v>
      </c>
      <c r="K91" s="2" t="s">
        <v>322</v>
      </c>
      <c r="L91" s="2" t="s">
        <v>322</v>
      </c>
      <c r="M91" s="2"/>
      <c r="N91" s="2">
        <v>245</v>
      </c>
      <c r="O91" s="4">
        <v>117478</v>
      </c>
      <c r="P91" s="5">
        <f t="shared" si="2"/>
        <v>0.47950204081632652</v>
      </c>
      <c r="Q91" s="4">
        <f t="shared" si="3"/>
        <v>94.587761674718195</v>
      </c>
    </row>
    <row r="92" spans="1:17" x14ac:dyDescent="0.25">
      <c r="A92" s="2" t="s">
        <v>24</v>
      </c>
      <c r="B92" s="2" t="s">
        <v>133</v>
      </c>
      <c r="C92" s="2" t="s">
        <v>394</v>
      </c>
      <c r="D92" s="3">
        <v>67.5</v>
      </c>
      <c r="E92" s="3" t="s">
        <v>325</v>
      </c>
      <c r="F92" s="6">
        <v>1127</v>
      </c>
      <c r="G92" s="2"/>
      <c r="H92" s="2" t="s">
        <v>286</v>
      </c>
      <c r="I92" s="2" t="s">
        <v>300</v>
      </c>
      <c r="J92" s="2" t="s">
        <v>313</v>
      </c>
      <c r="K92" s="2" t="s">
        <v>321</v>
      </c>
      <c r="L92" s="2" t="s">
        <v>322</v>
      </c>
      <c r="M92" s="2"/>
      <c r="N92" s="2">
        <v>229</v>
      </c>
      <c r="O92" s="4">
        <v>116996</v>
      </c>
      <c r="P92" s="5">
        <f t="shared" si="2"/>
        <v>0.51089956331877728</v>
      </c>
      <c r="Q92" s="4">
        <f t="shared" si="3"/>
        <v>103.81188997338066</v>
      </c>
    </row>
    <row r="93" spans="1:17" x14ac:dyDescent="0.25">
      <c r="A93" s="2" t="s">
        <v>24</v>
      </c>
      <c r="B93" s="2" t="s">
        <v>134</v>
      </c>
      <c r="C93" s="2" t="s">
        <v>393</v>
      </c>
      <c r="D93" s="3">
        <v>67.5</v>
      </c>
      <c r="E93" s="3" t="s">
        <v>326</v>
      </c>
      <c r="F93" s="6">
        <v>1397</v>
      </c>
      <c r="G93" s="2"/>
      <c r="H93" s="2" t="s">
        <v>286</v>
      </c>
      <c r="I93" s="2" t="s">
        <v>300</v>
      </c>
      <c r="J93" s="2" t="s">
        <v>313</v>
      </c>
      <c r="K93" s="2" t="s">
        <v>322</v>
      </c>
      <c r="L93" s="2" t="s">
        <v>322</v>
      </c>
      <c r="M93" s="2"/>
      <c r="N93" s="2">
        <v>282</v>
      </c>
      <c r="O93" s="4">
        <v>131907</v>
      </c>
      <c r="P93" s="5">
        <f t="shared" si="2"/>
        <v>0.46775531914893614</v>
      </c>
      <c r="Q93" s="4">
        <f t="shared" si="3"/>
        <v>94.421617752326412</v>
      </c>
    </row>
    <row r="94" spans="1:17" x14ac:dyDescent="0.25">
      <c r="A94" s="2" t="s">
        <v>25</v>
      </c>
      <c r="B94" s="2" t="s">
        <v>135</v>
      </c>
      <c r="C94" s="2" t="s">
        <v>395</v>
      </c>
      <c r="D94" s="3">
        <v>30</v>
      </c>
      <c r="E94" s="3" t="s">
        <v>327</v>
      </c>
      <c r="F94" s="6">
        <v>612</v>
      </c>
      <c r="G94" s="2"/>
      <c r="H94" s="2" t="s">
        <v>286</v>
      </c>
      <c r="I94" s="2" t="s">
        <v>301</v>
      </c>
      <c r="J94" s="2" t="s">
        <v>308</v>
      </c>
      <c r="K94" s="2" t="s">
        <v>321</v>
      </c>
      <c r="L94" s="2" t="s">
        <v>322</v>
      </c>
      <c r="M94" s="2"/>
      <c r="N94" s="2">
        <v>96</v>
      </c>
      <c r="O94" s="4">
        <v>57482</v>
      </c>
      <c r="P94" s="5">
        <f t="shared" si="2"/>
        <v>0.59877083333333336</v>
      </c>
      <c r="Q94" s="4">
        <f t="shared" si="3"/>
        <v>93.924836601307192</v>
      </c>
    </row>
    <row r="95" spans="1:17" x14ac:dyDescent="0.25">
      <c r="A95" s="2" t="s">
        <v>25</v>
      </c>
      <c r="B95" s="2" t="s">
        <v>136</v>
      </c>
      <c r="C95" s="2" t="s">
        <v>396</v>
      </c>
      <c r="D95" s="3">
        <v>30</v>
      </c>
      <c r="E95" s="3" t="s">
        <v>328</v>
      </c>
      <c r="F95" s="6">
        <v>732</v>
      </c>
      <c r="G95" s="2"/>
      <c r="H95" s="2" t="s">
        <v>286</v>
      </c>
      <c r="I95" s="2" t="s">
        <v>301</v>
      </c>
      <c r="J95" s="2" t="s">
        <v>308</v>
      </c>
      <c r="K95" s="2" t="s">
        <v>322</v>
      </c>
      <c r="L95" s="2" t="s">
        <v>322</v>
      </c>
      <c r="M95" s="2"/>
      <c r="N95" s="2">
        <v>117</v>
      </c>
      <c r="O95" s="4">
        <v>69597</v>
      </c>
      <c r="P95" s="5">
        <f t="shared" si="2"/>
        <v>0.5948461538461538</v>
      </c>
      <c r="Q95" s="4">
        <f t="shared" si="3"/>
        <v>95.077868852459019</v>
      </c>
    </row>
    <row r="96" spans="1:17" x14ac:dyDescent="0.25">
      <c r="A96" s="2" t="s">
        <v>25</v>
      </c>
      <c r="B96" s="2" t="s">
        <v>137</v>
      </c>
      <c r="C96" s="2" t="s">
        <v>395</v>
      </c>
      <c r="D96" s="3">
        <v>37.5</v>
      </c>
      <c r="E96" s="3" t="s">
        <v>327</v>
      </c>
      <c r="F96" s="6">
        <v>765</v>
      </c>
      <c r="G96" s="2"/>
      <c r="H96" s="2" t="s">
        <v>286</v>
      </c>
      <c r="I96" s="2" t="s">
        <v>301</v>
      </c>
      <c r="J96" s="2" t="s">
        <v>309</v>
      </c>
      <c r="K96" s="2" t="s">
        <v>321</v>
      </c>
      <c r="L96" s="2" t="s">
        <v>322</v>
      </c>
      <c r="M96" s="2"/>
      <c r="N96" s="2">
        <v>151</v>
      </c>
      <c r="O96" s="4">
        <v>84246</v>
      </c>
      <c r="P96" s="5">
        <f t="shared" si="2"/>
        <v>0.55792052980132445</v>
      </c>
      <c r="Q96" s="4">
        <f t="shared" si="3"/>
        <v>110.12549019607843</v>
      </c>
    </row>
    <row r="97" spans="1:17" x14ac:dyDescent="0.25">
      <c r="A97" s="2" t="s">
        <v>25</v>
      </c>
      <c r="B97" s="2" t="s">
        <v>138</v>
      </c>
      <c r="C97" s="2" t="s">
        <v>396</v>
      </c>
      <c r="D97" s="3">
        <v>37.5</v>
      </c>
      <c r="E97" s="3" t="s">
        <v>328</v>
      </c>
      <c r="F97" s="6">
        <v>915</v>
      </c>
      <c r="G97" s="2"/>
      <c r="H97" s="2" t="s">
        <v>286</v>
      </c>
      <c r="I97" s="2" t="s">
        <v>301</v>
      </c>
      <c r="J97" s="2" t="s">
        <v>309</v>
      </c>
      <c r="K97" s="2" t="s">
        <v>322</v>
      </c>
      <c r="L97" s="2" t="s">
        <v>322</v>
      </c>
      <c r="M97" s="2"/>
      <c r="N97" s="2">
        <v>179</v>
      </c>
      <c r="O97" s="4">
        <v>92032</v>
      </c>
      <c r="P97" s="5">
        <f t="shared" si="2"/>
        <v>0.51414525139664802</v>
      </c>
      <c r="Q97" s="4">
        <f t="shared" si="3"/>
        <v>100.58142076502732</v>
      </c>
    </row>
    <row r="98" spans="1:17" x14ac:dyDescent="0.25">
      <c r="A98" s="2" t="s">
        <v>25</v>
      </c>
      <c r="B98" s="2" t="s">
        <v>139</v>
      </c>
      <c r="C98" s="2" t="s">
        <v>395</v>
      </c>
      <c r="D98" s="3">
        <v>45</v>
      </c>
      <c r="E98" s="3" t="s">
        <v>327</v>
      </c>
      <c r="F98" s="6">
        <v>918</v>
      </c>
      <c r="G98" s="2"/>
      <c r="H98" s="2" t="s">
        <v>286</v>
      </c>
      <c r="I98" s="2" t="s">
        <v>301</v>
      </c>
      <c r="J98" s="2" t="s">
        <v>310</v>
      </c>
      <c r="K98" s="2" t="s">
        <v>321</v>
      </c>
      <c r="L98" s="2" t="s">
        <v>322</v>
      </c>
      <c r="M98" s="2"/>
      <c r="N98" s="2">
        <v>180</v>
      </c>
      <c r="O98" s="4">
        <v>98724</v>
      </c>
      <c r="P98" s="5">
        <f t="shared" si="2"/>
        <v>0.54846666666666666</v>
      </c>
      <c r="Q98" s="4">
        <f t="shared" si="3"/>
        <v>107.54248366013071</v>
      </c>
    </row>
    <row r="99" spans="1:17" x14ac:dyDescent="0.25">
      <c r="A99" s="2" t="s">
        <v>25</v>
      </c>
      <c r="B99" s="2" t="s">
        <v>140</v>
      </c>
      <c r="C99" s="2" t="s">
        <v>396</v>
      </c>
      <c r="D99" s="3">
        <v>45</v>
      </c>
      <c r="E99" s="3" t="s">
        <v>328</v>
      </c>
      <c r="F99" s="6">
        <v>1098</v>
      </c>
      <c r="G99" s="2"/>
      <c r="H99" s="2" t="s">
        <v>286</v>
      </c>
      <c r="I99" s="2" t="s">
        <v>301</v>
      </c>
      <c r="J99" s="2" t="s">
        <v>310</v>
      </c>
      <c r="K99" s="2" t="s">
        <v>322</v>
      </c>
      <c r="L99" s="2" t="s">
        <v>322</v>
      </c>
      <c r="M99" s="2"/>
      <c r="N99" s="2">
        <v>213</v>
      </c>
      <c r="O99" s="4">
        <v>108128</v>
      </c>
      <c r="P99" s="5">
        <f t="shared" si="2"/>
        <v>0.50764319248826295</v>
      </c>
      <c r="Q99" s="4">
        <f t="shared" si="3"/>
        <v>98.477231329690341</v>
      </c>
    </row>
    <row r="100" spans="1:17" x14ac:dyDescent="0.25">
      <c r="A100" s="2" t="s">
        <v>25</v>
      </c>
      <c r="B100" s="2" t="s">
        <v>141</v>
      </c>
      <c r="C100" s="2" t="s">
        <v>395</v>
      </c>
      <c r="D100" s="3">
        <v>52.5</v>
      </c>
      <c r="E100" s="3" t="s">
        <v>327</v>
      </c>
      <c r="F100" s="6">
        <v>1071</v>
      </c>
      <c r="G100" s="2"/>
      <c r="H100" s="2" t="s">
        <v>286</v>
      </c>
      <c r="I100" s="2" t="s">
        <v>301</v>
      </c>
      <c r="J100" s="2" t="s">
        <v>311</v>
      </c>
      <c r="K100" s="2" t="s">
        <v>321</v>
      </c>
      <c r="L100" s="2" t="s">
        <v>322</v>
      </c>
      <c r="M100" s="2"/>
      <c r="N100" s="2">
        <v>208</v>
      </c>
      <c r="O100" s="4">
        <v>113374</v>
      </c>
      <c r="P100" s="5">
        <f t="shared" si="2"/>
        <v>0.54506730769230771</v>
      </c>
      <c r="Q100" s="4">
        <f t="shared" si="3"/>
        <v>105.85807656395892</v>
      </c>
    </row>
    <row r="101" spans="1:17" x14ac:dyDescent="0.25">
      <c r="A101" s="2" t="s">
        <v>25</v>
      </c>
      <c r="B101" s="2" t="s">
        <v>142</v>
      </c>
      <c r="C101" s="2" t="s">
        <v>396</v>
      </c>
      <c r="D101" s="3">
        <v>52.5</v>
      </c>
      <c r="E101" s="3" t="s">
        <v>328</v>
      </c>
      <c r="F101" s="6">
        <v>1281</v>
      </c>
      <c r="G101" s="2"/>
      <c r="H101" s="2" t="s">
        <v>286</v>
      </c>
      <c r="I101" s="2" t="s">
        <v>301</v>
      </c>
      <c r="J101" s="2" t="s">
        <v>311</v>
      </c>
      <c r="K101" s="2" t="s">
        <v>322</v>
      </c>
      <c r="L101" s="2" t="s">
        <v>322</v>
      </c>
      <c r="M101" s="2"/>
      <c r="N101" s="2">
        <v>247</v>
      </c>
      <c r="O101" s="4">
        <v>127064</v>
      </c>
      <c r="P101" s="5">
        <f t="shared" si="2"/>
        <v>0.51442914979757082</v>
      </c>
      <c r="Q101" s="4">
        <f t="shared" si="3"/>
        <v>99.191256830601091</v>
      </c>
    </row>
    <row r="102" spans="1:17" x14ac:dyDescent="0.25">
      <c r="A102" s="2" t="s">
        <v>25</v>
      </c>
      <c r="B102" s="2" t="s">
        <v>143</v>
      </c>
      <c r="C102" s="2" t="s">
        <v>395</v>
      </c>
      <c r="D102" s="3">
        <v>60</v>
      </c>
      <c r="E102" s="3" t="s">
        <v>327</v>
      </c>
      <c r="F102" s="6">
        <v>1224</v>
      </c>
      <c r="G102" s="2"/>
      <c r="H102" s="2" t="s">
        <v>286</v>
      </c>
      <c r="I102" s="2" t="s">
        <v>301</v>
      </c>
      <c r="J102" s="2" t="s">
        <v>312</v>
      </c>
      <c r="K102" s="2" t="s">
        <v>321</v>
      </c>
      <c r="L102" s="2" t="s">
        <v>322</v>
      </c>
      <c r="M102" s="2"/>
      <c r="N102" s="2">
        <v>237</v>
      </c>
      <c r="O102" s="4">
        <v>128692</v>
      </c>
      <c r="P102" s="5">
        <f t="shared" si="2"/>
        <v>0.54300421940928267</v>
      </c>
      <c r="Q102" s="4">
        <f t="shared" si="3"/>
        <v>105.140522875817</v>
      </c>
    </row>
    <row r="103" spans="1:17" x14ac:dyDescent="0.25">
      <c r="A103" s="2" t="s">
        <v>25</v>
      </c>
      <c r="B103" s="2" t="s">
        <v>144</v>
      </c>
      <c r="C103" s="2" t="s">
        <v>396</v>
      </c>
      <c r="D103" s="3">
        <v>60</v>
      </c>
      <c r="E103" s="3" t="s">
        <v>328</v>
      </c>
      <c r="F103" s="6">
        <v>1464</v>
      </c>
      <c r="G103" s="2"/>
      <c r="H103" s="2" t="s">
        <v>286</v>
      </c>
      <c r="I103" s="2" t="s">
        <v>301</v>
      </c>
      <c r="J103" s="2" t="s">
        <v>312</v>
      </c>
      <c r="K103" s="2" t="s">
        <v>322</v>
      </c>
      <c r="L103" s="2" t="s">
        <v>322</v>
      </c>
      <c r="M103" s="2"/>
      <c r="N103" s="2">
        <v>282</v>
      </c>
      <c r="O103" s="4">
        <v>141331</v>
      </c>
      <c r="P103" s="5">
        <f t="shared" si="2"/>
        <v>0.50117375886524818</v>
      </c>
      <c r="Q103" s="4">
        <f t="shared" si="3"/>
        <v>96.537568306010925</v>
      </c>
    </row>
    <row r="104" spans="1:17" x14ac:dyDescent="0.25">
      <c r="A104" s="2" t="s">
        <v>26</v>
      </c>
      <c r="B104" s="2" t="s">
        <v>145</v>
      </c>
      <c r="C104" s="2" t="s">
        <v>397</v>
      </c>
      <c r="D104" s="3">
        <v>30</v>
      </c>
      <c r="E104" s="3">
        <v>15</v>
      </c>
      <c r="F104" s="6">
        <v>450</v>
      </c>
      <c r="G104" s="2"/>
      <c r="H104" s="2" t="s">
        <v>288</v>
      </c>
      <c r="I104" s="2" t="s">
        <v>302</v>
      </c>
      <c r="J104" s="2" t="s">
        <v>308</v>
      </c>
      <c r="K104" s="2"/>
      <c r="L104" s="2"/>
      <c r="M104" s="2" t="s">
        <v>323</v>
      </c>
      <c r="N104" s="2">
        <v>96</v>
      </c>
      <c r="O104" s="4">
        <v>55086</v>
      </c>
      <c r="P104" s="5">
        <f t="shared" si="2"/>
        <v>0.57381249999999995</v>
      </c>
      <c r="Q104" s="4">
        <f t="shared" si="3"/>
        <v>122.41333333333333</v>
      </c>
    </row>
    <row r="105" spans="1:17" x14ac:dyDescent="0.25">
      <c r="A105" s="2" t="s">
        <v>26</v>
      </c>
      <c r="B105" s="2" t="s">
        <v>146</v>
      </c>
      <c r="C105" s="2" t="s">
        <v>397</v>
      </c>
      <c r="D105" s="3">
        <v>37.5</v>
      </c>
      <c r="E105" s="3">
        <v>15</v>
      </c>
      <c r="F105" s="6">
        <v>562</v>
      </c>
      <c r="G105" s="2"/>
      <c r="H105" s="2" t="s">
        <v>288</v>
      </c>
      <c r="I105" s="2" t="s">
        <v>302</v>
      </c>
      <c r="J105" s="2" t="s">
        <v>309</v>
      </c>
      <c r="K105" s="2"/>
      <c r="L105" s="2"/>
      <c r="M105" s="2" t="s">
        <v>323</v>
      </c>
      <c r="N105" s="2">
        <v>119</v>
      </c>
      <c r="O105" s="4">
        <v>65962</v>
      </c>
      <c r="P105" s="5">
        <f t="shared" si="2"/>
        <v>0.55430252100840338</v>
      </c>
      <c r="Q105" s="4">
        <f t="shared" si="3"/>
        <v>117.37010676156584</v>
      </c>
    </row>
    <row r="106" spans="1:17" x14ac:dyDescent="0.25">
      <c r="A106" s="2" t="s">
        <v>26</v>
      </c>
      <c r="B106" s="2" t="s">
        <v>147</v>
      </c>
      <c r="C106" s="2" t="s">
        <v>397</v>
      </c>
      <c r="D106" s="3">
        <v>45</v>
      </c>
      <c r="E106" s="3">
        <v>15</v>
      </c>
      <c r="F106" s="6">
        <v>675</v>
      </c>
      <c r="G106" s="2"/>
      <c r="H106" s="2" t="s">
        <v>288</v>
      </c>
      <c r="I106" s="2" t="s">
        <v>302</v>
      </c>
      <c r="J106" s="2" t="s">
        <v>310</v>
      </c>
      <c r="K106" s="2"/>
      <c r="L106" s="2"/>
      <c r="M106" s="2" t="s">
        <v>323</v>
      </c>
      <c r="N106" s="2">
        <v>145</v>
      </c>
      <c r="O106" s="4">
        <v>76838</v>
      </c>
      <c r="P106" s="5">
        <f t="shared" si="2"/>
        <v>0.5299172413793104</v>
      </c>
      <c r="Q106" s="4">
        <f t="shared" si="3"/>
        <v>113.83407407407407</v>
      </c>
    </row>
    <row r="107" spans="1:17" x14ac:dyDescent="0.25">
      <c r="A107" s="2" t="s">
        <v>26</v>
      </c>
      <c r="B107" s="2" t="s">
        <v>148</v>
      </c>
      <c r="C107" s="2" t="s">
        <v>397</v>
      </c>
      <c r="D107" s="3">
        <v>52.5</v>
      </c>
      <c r="E107" s="3">
        <v>15</v>
      </c>
      <c r="F107" s="6">
        <v>787.5</v>
      </c>
      <c r="G107" s="2"/>
      <c r="H107" s="2" t="s">
        <v>288</v>
      </c>
      <c r="I107" s="2" t="s">
        <v>302</v>
      </c>
      <c r="J107" s="2" t="s">
        <v>311</v>
      </c>
      <c r="K107" s="2"/>
      <c r="L107" s="2"/>
      <c r="M107" s="2" t="s">
        <v>323</v>
      </c>
      <c r="N107" s="2">
        <v>167</v>
      </c>
      <c r="O107" s="4">
        <v>87885</v>
      </c>
      <c r="P107" s="5">
        <f t="shared" si="2"/>
        <v>0.52625748502994008</v>
      </c>
      <c r="Q107" s="4">
        <f t="shared" si="3"/>
        <v>111.6</v>
      </c>
    </row>
    <row r="108" spans="1:17" x14ac:dyDescent="0.25">
      <c r="A108" s="2" t="s">
        <v>26</v>
      </c>
      <c r="B108" s="2" t="s">
        <v>149</v>
      </c>
      <c r="C108" s="2" t="s">
        <v>397</v>
      </c>
      <c r="D108" s="3">
        <v>60</v>
      </c>
      <c r="E108" s="3">
        <v>15</v>
      </c>
      <c r="F108" s="6">
        <v>900</v>
      </c>
      <c r="G108" s="2"/>
      <c r="H108" s="2" t="s">
        <v>288</v>
      </c>
      <c r="I108" s="2" t="s">
        <v>302</v>
      </c>
      <c r="J108" s="2" t="s">
        <v>312</v>
      </c>
      <c r="K108" s="2"/>
      <c r="L108" s="2"/>
      <c r="M108" s="2" t="s">
        <v>323</v>
      </c>
      <c r="N108" s="2">
        <v>193</v>
      </c>
      <c r="O108" s="4">
        <v>98761</v>
      </c>
      <c r="P108" s="5">
        <f t="shared" si="2"/>
        <v>0.51171502590673579</v>
      </c>
      <c r="Q108" s="4">
        <f t="shared" si="3"/>
        <v>109.73444444444445</v>
      </c>
    </row>
    <row r="109" spans="1:17" x14ac:dyDescent="0.25">
      <c r="A109" s="2" t="s">
        <v>26</v>
      </c>
      <c r="B109" s="2" t="s">
        <v>150</v>
      </c>
      <c r="C109" s="2" t="s">
        <v>397</v>
      </c>
      <c r="D109" s="3">
        <v>67.5</v>
      </c>
      <c r="E109" s="3">
        <v>15</v>
      </c>
      <c r="F109" s="6">
        <v>1012</v>
      </c>
      <c r="G109" s="2"/>
      <c r="H109" s="2" t="s">
        <v>288</v>
      </c>
      <c r="I109" s="2" t="s">
        <v>303</v>
      </c>
      <c r="J109" s="2" t="s">
        <v>313</v>
      </c>
      <c r="K109" s="2"/>
      <c r="L109" s="2"/>
      <c r="M109" s="2" t="s">
        <v>323</v>
      </c>
      <c r="N109" s="2">
        <v>219</v>
      </c>
      <c r="O109" s="4">
        <v>109994</v>
      </c>
      <c r="P109" s="5">
        <f t="shared" si="2"/>
        <v>0.50225570776255712</v>
      </c>
      <c r="Q109" s="4">
        <f t="shared" si="3"/>
        <v>108.68972332015811</v>
      </c>
    </row>
    <row r="110" spans="1:17" x14ac:dyDescent="0.25">
      <c r="A110" s="2" t="s">
        <v>26</v>
      </c>
      <c r="B110" s="2" t="s">
        <v>151</v>
      </c>
      <c r="C110" s="2" t="s">
        <v>397</v>
      </c>
      <c r="D110" s="3">
        <v>75</v>
      </c>
      <c r="E110" s="3">
        <v>15</v>
      </c>
      <c r="F110" s="6">
        <v>1125</v>
      </c>
      <c r="G110" s="2"/>
      <c r="H110" s="2" t="s">
        <v>288</v>
      </c>
      <c r="I110" s="2" t="s">
        <v>303</v>
      </c>
      <c r="J110" s="2" t="s">
        <v>314</v>
      </c>
      <c r="K110" s="2"/>
      <c r="L110" s="2"/>
      <c r="M110" s="2" t="s">
        <v>323</v>
      </c>
      <c r="N110" s="2">
        <v>241</v>
      </c>
      <c r="O110" s="4">
        <v>120870</v>
      </c>
      <c r="P110" s="5">
        <f t="shared" si="2"/>
        <v>0.50153526970954354</v>
      </c>
      <c r="Q110" s="4">
        <f t="shared" si="3"/>
        <v>107.44</v>
      </c>
    </row>
    <row r="111" spans="1:17" x14ac:dyDescent="0.25">
      <c r="A111" s="2" t="s">
        <v>26</v>
      </c>
      <c r="B111" s="2" t="s">
        <v>152</v>
      </c>
      <c r="C111" s="2" t="s">
        <v>397</v>
      </c>
      <c r="D111" s="3">
        <v>82.5</v>
      </c>
      <c r="E111" s="3">
        <v>15</v>
      </c>
      <c r="F111" s="6">
        <v>1237</v>
      </c>
      <c r="G111" s="2"/>
      <c r="H111" s="2" t="s">
        <v>288</v>
      </c>
      <c r="I111" s="2" t="s">
        <v>303</v>
      </c>
      <c r="J111" s="2" t="s">
        <v>315</v>
      </c>
      <c r="K111" s="2"/>
      <c r="L111" s="2"/>
      <c r="M111" s="2" t="s">
        <v>323</v>
      </c>
      <c r="N111" s="2">
        <v>267</v>
      </c>
      <c r="O111" s="4">
        <v>131747</v>
      </c>
      <c r="P111" s="5">
        <f t="shared" si="2"/>
        <v>0.49343445692883897</v>
      </c>
      <c r="Q111" s="4">
        <f t="shared" si="3"/>
        <v>106.50525464834277</v>
      </c>
    </row>
    <row r="112" spans="1:17" x14ac:dyDescent="0.25">
      <c r="A112" s="2" t="s">
        <v>26</v>
      </c>
      <c r="B112" s="2" t="s">
        <v>153</v>
      </c>
      <c r="C112" s="2" t="s">
        <v>397</v>
      </c>
      <c r="D112" s="3">
        <v>90</v>
      </c>
      <c r="E112" s="3">
        <v>15</v>
      </c>
      <c r="F112" s="6">
        <v>1350</v>
      </c>
      <c r="G112" s="2"/>
      <c r="H112" s="2" t="s">
        <v>288</v>
      </c>
      <c r="I112" s="2" t="s">
        <v>303</v>
      </c>
      <c r="J112" s="2" t="s">
        <v>316</v>
      </c>
      <c r="K112" s="2"/>
      <c r="L112" s="2"/>
      <c r="M112" s="2" t="s">
        <v>323</v>
      </c>
      <c r="N112" s="2">
        <v>290</v>
      </c>
      <c r="O112" s="4">
        <v>143634</v>
      </c>
      <c r="P112" s="5">
        <f t="shared" si="2"/>
        <v>0.4952896551724138</v>
      </c>
      <c r="Q112" s="4">
        <f t="shared" si="3"/>
        <v>106.39555555555556</v>
      </c>
    </row>
    <row r="113" spans="1:17" x14ac:dyDescent="0.25">
      <c r="A113" s="2" t="s">
        <v>26</v>
      </c>
      <c r="B113" s="2" t="s">
        <v>154</v>
      </c>
      <c r="C113" s="2" t="s">
        <v>397</v>
      </c>
      <c r="D113" s="3">
        <v>97.5</v>
      </c>
      <c r="E113" s="3">
        <v>15</v>
      </c>
      <c r="F113" s="6">
        <v>1462</v>
      </c>
      <c r="G113" s="2"/>
      <c r="H113" s="2" t="s">
        <v>288</v>
      </c>
      <c r="I113" s="2" t="s">
        <v>303</v>
      </c>
      <c r="J113" s="2" t="s">
        <v>317</v>
      </c>
      <c r="K113" s="2"/>
      <c r="L113" s="2"/>
      <c r="M113" s="2" t="s">
        <v>323</v>
      </c>
      <c r="N113" s="2">
        <v>316</v>
      </c>
      <c r="O113" s="4">
        <v>154510</v>
      </c>
      <c r="P113" s="5">
        <f t="shared" si="2"/>
        <v>0.48895569620253165</v>
      </c>
      <c r="Q113" s="4">
        <f t="shared" si="3"/>
        <v>105.68399452804377</v>
      </c>
    </row>
    <row r="114" spans="1:17" x14ac:dyDescent="0.25">
      <c r="A114" s="2" t="s">
        <v>26</v>
      </c>
      <c r="B114" s="2" t="s">
        <v>155</v>
      </c>
      <c r="C114" s="2" t="s">
        <v>397</v>
      </c>
      <c r="D114" s="3">
        <v>105</v>
      </c>
      <c r="E114" s="3">
        <v>15</v>
      </c>
      <c r="F114" s="6">
        <v>1575</v>
      </c>
      <c r="G114" s="2"/>
      <c r="H114" s="2" t="s">
        <v>288</v>
      </c>
      <c r="I114" s="2" t="s">
        <v>303</v>
      </c>
      <c r="J114" s="2" t="s">
        <v>318</v>
      </c>
      <c r="K114" s="2"/>
      <c r="L114" s="2"/>
      <c r="M114" s="2" t="s">
        <v>323</v>
      </c>
      <c r="N114" s="2">
        <v>338</v>
      </c>
      <c r="O114" s="4">
        <v>167731</v>
      </c>
      <c r="P114" s="5">
        <f t="shared" si="2"/>
        <v>0.49624556213017751</v>
      </c>
      <c r="Q114" s="4">
        <f t="shared" si="3"/>
        <v>106.49587301587302</v>
      </c>
    </row>
    <row r="115" spans="1:17" x14ac:dyDescent="0.25">
      <c r="A115" s="2" t="s">
        <v>26</v>
      </c>
      <c r="B115" s="2" t="s">
        <v>156</v>
      </c>
      <c r="C115" s="2" t="s">
        <v>397</v>
      </c>
      <c r="D115" s="3">
        <v>112.5</v>
      </c>
      <c r="E115" s="3">
        <v>15</v>
      </c>
      <c r="F115" s="6">
        <v>1687</v>
      </c>
      <c r="G115" s="2"/>
      <c r="H115" s="2" t="s">
        <v>288</v>
      </c>
      <c r="I115" s="2" t="s">
        <v>303</v>
      </c>
      <c r="J115" s="2" t="s">
        <v>319</v>
      </c>
      <c r="K115" s="2"/>
      <c r="L115" s="2"/>
      <c r="M115" s="2" t="s">
        <v>323</v>
      </c>
      <c r="N115" s="2">
        <v>364</v>
      </c>
      <c r="O115" s="4">
        <v>178608</v>
      </c>
      <c r="P115" s="5">
        <f t="shared" si="2"/>
        <v>0.4906813186813187</v>
      </c>
      <c r="Q115" s="4">
        <f t="shared" si="3"/>
        <v>105.87314759928867</v>
      </c>
    </row>
    <row r="116" spans="1:17" x14ac:dyDescent="0.25">
      <c r="A116" s="2" t="s">
        <v>26</v>
      </c>
      <c r="B116" s="2" t="s">
        <v>157</v>
      </c>
      <c r="C116" s="2" t="s">
        <v>397</v>
      </c>
      <c r="D116" s="3">
        <v>120</v>
      </c>
      <c r="E116" s="3">
        <v>15</v>
      </c>
      <c r="F116" s="6">
        <v>1800</v>
      </c>
      <c r="G116" s="2"/>
      <c r="H116" s="2" t="s">
        <v>288</v>
      </c>
      <c r="I116" s="2" t="s">
        <v>303</v>
      </c>
      <c r="J116" s="2" t="s">
        <v>320</v>
      </c>
      <c r="K116" s="2"/>
      <c r="L116" s="2"/>
      <c r="M116" s="2" t="s">
        <v>323</v>
      </c>
      <c r="N116" s="2">
        <v>386</v>
      </c>
      <c r="O116" s="4">
        <v>189655</v>
      </c>
      <c r="P116" s="5">
        <f t="shared" si="2"/>
        <v>0.49133419689119173</v>
      </c>
      <c r="Q116" s="4">
        <f t="shared" si="3"/>
        <v>105.36388888888889</v>
      </c>
    </row>
    <row r="117" spans="1:17" x14ac:dyDescent="0.25">
      <c r="A117" s="2" t="s">
        <v>27</v>
      </c>
      <c r="B117" s="2" t="s">
        <v>158</v>
      </c>
      <c r="C117" s="2" t="s">
        <v>398</v>
      </c>
      <c r="D117" s="3">
        <v>30</v>
      </c>
      <c r="E117" s="3">
        <v>18.600000000000001</v>
      </c>
      <c r="F117" s="6">
        <v>558</v>
      </c>
      <c r="G117" s="2"/>
      <c r="H117" s="2" t="s">
        <v>288</v>
      </c>
      <c r="I117" s="2" t="s">
        <v>303</v>
      </c>
      <c r="J117" s="2" t="s">
        <v>308</v>
      </c>
      <c r="K117" s="2"/>
      <c r="L117" s="2"/>
      <c r="M117" s="2" t="s">
        <v>323</v>
      </c>
      <c r="N117" s="2">
        <v>120</v>
      </c>
      <c r="O117" s="4">
        <v>64229</v>
      </c>
      <c r="P117" s="5">
        <f t="shared" si="2"/>
        <v>0.53524166666666662</v>
      </c>
      <c r="Q117" s="4">
        <f t="shared" si="3"/>
        <v>115.10573476702508</v>
      </c>
    </row>
    <row r="118" spans="1:17" x14ac:dyDescent="0.25">
      <c r="A118" s="2" t="s">
        <v>27</v>
      </c>
      <c r="B118" s="2" t="s">
        <v>159</v>
      </c>
      <c r="C118" s="2" t="s">
        <v>398</v>
      </c>
      <c r="D118" s="3">
        <v>37.5</v>
      </c>
      <c r="E118" s="3">
        <v>18.600000000000001</v>
      </c>
      <c r="F118" s="6">
        <v>697</v>
      </c>
      <c r="G118" s="2"/>
      <c r="H118" s="2" t="s">
        <v>288</v>
      </c>
      <c r="I118" s="2" t="s">
        <v>303</v>
      </c>
      <c r="J118" s="2" t="s">
        <v>309</v>
      </c>
      <c r="K118" s="2"/>
      <c r="L118" s="2"/>
      <c r="M118" s="2" t="s">
        <v>323</v>
      </c>
      <c r="N118" s="2">
        <v>148</v>
      </c>
      <c r="O118" s="4">
        <v>78093</v>
      </c>
      <c r="P118" s="5">
        <f t="shared" si="2"/>
        <v>0.52765540540540545</v>
      </c>
      <c r="Q118" s="4">
        <f t="shared" si="3"/>
        <v>112.04160688665711</v>
      </c>
    </row>
    <row r="119" spans="1:17" x14ac:dyDescent="0.25">
      <c r="A119" s="2" t="s">
        <v>27</v>
      </c>
      <c r="B119" s="2" t="s">
        <v>160</v>
      </c>
      <c r="C119" s="2" t="s">
        <v>398</v>
      </c>
      <c r="D119" s="3">
        <v>45</v>
      </c>
      <c r="E119" s="3">
        <v>18.600000000000001</v>
      </c>
      <c r="F119" s="6">
        <v>837</v>
      </c>
      <c r="G119" s="2"/>
      <c r="H119" s="2" t="s">
        <v>288</v>
      </c>
      <c r="I119" s="2" t="s">
        <v>303</v>
      </c>
      <c r="J119" s="2" t="s">
        <v>310</v>
      </c>
      <c r="K119" s="2"/>
      <c r="L119" s="2"/>
      <c r="M119" s="2" t="s">
        <v>323</v>
      </c>
      <c r="N119" s="2">
        <v>181</v>
      </c>
      <c r="O119" s="4">
        <v>91771</v>
      </c>
      <c r="P119" s="5">
        <f t="shared" si="2"/>
        <v>0.50702209944751386</v>
      </c>
      <c r="Q119" s="4">
        <f t="shared" si="3"/>
        <v>109.64277180406212</v>
      </c>
    </row>
    <row r="120" spans="1:17" x14ac:dyDescent="0.25">
      <c r="A120" s="2" t="s">
        <v>27</v>
      </c>
      <c r="B120" s="2" t="s">
        <v>161</v>
      </c>
      <c r="C120" s="2" t="s">
        <v>398</v>
      </c>
      <c r="D120" s="3">
        <v>52.5</v>
      </c>
      <c r="E120" s="3">
        <v>18.600000000000001</v>
      </c>
      <c r="F120" s="6">
        <v>976</v>
      </c>
      <c r="G120" s="2"/>
      <c r="H120" s="2" t="s">
        <v>288</v>
      </c>
      <c r="I120" s="2" t="s">
        <v>303</v>
      </c>
      <c r="J120" s="2" t="s">
        <v>311</v>
      </c>
      <c r="K120" s="2"/>
      <c r="L120" s="2"/>
      <c r="M120" s="2" t="s">
        <v>323</v>
      </c>
      <c r="N120" s="2">
        <v>209</v>
      </c>
      <c r="O120" s="4">
        <v>105806</v>
      </c>
      <c r="P120" s="5">
        <f t="shared" si="2"/>
        <v>0.50624880382775117</v>
      </c>
      <c r="Q120" s="4">
        <f t="shared" si="3"/>
        <v>108.4077868852459</v>
      </c>
    </row>
    <row r="121" spans="1:17" x14ac:dyDescent="0.25">
      <c r="A121" s="2" t="s">
        <v>27</v>
      </c>
      <c r="B121" s="2" t="s">
        <v>162</v>
      </c>
      <c r="C121" s="2" t="s">
        <v>398</v>
      </c>
      <c r="D121" s="3">
        <v>60</v>
      </c>
      <c r="E121" s="3">
        <v>18.600000000000001</v>
      </c>
      <c r="F121" s="6">
        <v>1116</v>
      </c>
      <c r="G121" s="2"/>
      <c r="H121" s="2" t="s">
        <v>288</v>
      </c>
      <c r="I121" s="2" t="s">
        <v>303</v>
      </c>
      <c r="J121" s="2" t="s">
        <v>312</v>
      </c>
      <c r="K121" s="2"/>
      <c r="L121" s="2"/>
      <c r="M121" s="2" t="s">
        <v>323</v>
      </c>
      <c r="N121" s="2">
        <v>241</v>
      </c>
      <c r="O121" s="4">
        <v>120325</v>
      </c>
      <c r="P121" s="5">
        <f t="shared" si="2"/>
        <v>0.49927385892116183</v>
      </c>
      <c r="Q121" s="4">
        <f t="shared" si="3"/>
        <v>107.81810035842294</v>
      </c>
    </row>
    <row r="122" spans="1:17" x14ac:dyDescent="0.25">
      <c r="A122" s="2" t="s">
        <v>27</v>
      </c>
      <c r="B122" s="2" t="s">
        <v>163</v>
      </c>
      <c r="C122" s="2" t="s">
        <v>398</v>
      </c>
      <c r="D122" s="3">
        <v>67.5</v>
      </c>
      <c r="E122" s="3">
        <v>18.600000000000001</v>
      </c>
      <c r="F122" s="6">
        <v>1255</v>
      </c>
      <c r="G122" s="2"/>
      <c r="H122" s="2" t="s">
        <v>288</v>
      </c>
      <c r="I122" s="2" t="s">
        <v>303</v>
      </c>
      <c r="J122" s="2" t="s">
        <v>313</v>
      </c>
      <c r="K122" s="2"/>
      <c r="L122" s="2"/>
      <c r="M122" s="2" t="s">
        <v>323</v>
      </c>
      <c r="N122" s="2">
        <v>274</v>
      </c>
      <c r="O122" s="4">
        <v>134188</v>
      </c>
      <c r="P122" s="5">
        <f t="shared" si="2"/>
        <v>0.48973722627737226</v>
      </c>
      <c r="Q122" s="4">
        <f t="shared" si="3"/>
        <v>106.92270916334661</v>
      </c>
    </row>
    <row r="123" spans="1:17" x14ac:dyDescent="0.25">
      <c r="A123" s="2" t="s">
        <v>27</v>
      </c>
      <c r="B123" s="2" t="s">
        <v>164</v>
      </c>
      <c r="C123" s="2" t="s">
        <v>398</v>
      </c>
      <c r="D123" s="3">
        <v>75</v>
      </c>
      <c r="E123" s="3">
        <v>18.600000000000001</v>
      </c>
      <c r="F123" s="6">
        <v>1395</v>
      </c>
      <c r="G123" s="2"/>
      <c r="H123" s="2" t="s">
        <v>288</v>
      </c>
      <c r="I123" s="2" t="s">
        <v>303</v>
      </c>
      <c r="J123" s="2" t="s">
        <v>314</v>
      </c>
      <c r="K123" s="2"/>
      <c r="L123" s="2"/>
      <c r="M123" s="2" t="s">
        <v>323</v>
      </c>
      <c r="N123" s="2">
        <v>302</v>
      </c>
      <c r="O123" s="4">
        <v>147867</v>
      </c>
      <c r="P123" s="5">
        <f t="shared" si="2"/>
        <v>0.48962582781456954</v>
      </c>
      <c r="Q123" s="4">
        <f t="shared" si="3"/>
        <v>105.99784946236559</v>
      </c>
    </row>
    <row r="124" spans="1:17" x14ac:dyDescent="0.25">
      <c r="A124" s="2" t="s">
        <v>27</v>
      </c>
      <c r="B124" s="2" t="s">
        <v>165</v>
      </c>
      <c r="C124" s="2" t="s">
        <v>398</v>
      </c>
      <c r="D124" s="3">
        <v>82.5</v>
      </c>
      <c r="E124" s="3">
        <v>18.600000000000001</v>
      </c>
      <c r="F124" s="6">
        <v>1534</v>
      </c>
      <c r="G124" s="2"/>
      <c r="H124" s="2" t="s">
        <v>288</v>
      </c>
      <c r="I124" s="2" t="s">
        <v>303</v>
      </c>
      <c r="J124" s="2" t="s">
        <v>315</v>
      </c>
      <c r="K124" s="2"/>
      <c r="L124" s="2"/>
      <c r="M124" s="2" t="s">
        <v>323</v>
      </c>
      <c r="N124" s="2">
        <v>334</v>
      </c>
      <c r="O124" s="4">
        <v>161730</v>
      </c>
      <c r="P124" s="5">
        <f t="shared" si="2"/>
        <v>0.48422155688622753</v>
      </c>
      <c r="Q124" s="4">
        <f t="shared" si="3"/>
        <v>105.43024771838331</v>
      </c>
    </row>
    <row r="125" spans="1:17" x14ac:dyDescent="0.25">
      <c r="A125" s="2" t="s">
        <v>27</v>
      </c>
      <c r="B125" s="2" t="s">
        <v>166</v>
      </c>
      <c r="C125" s="2" t="s">
        <v>398</v>
      </c>
      <c r="D125" s="3">
        <v>90</v>
      </c>
      <c r="E125" s="3">
        <v>18.600000000000001</v>
      </c>
      <c r="F125" s="6">
        <v>1674</v>
      </c>
      <c r="G125" s="2"/>
      <c r="H125" s="2" t="s">
        <v>288</v>
      </c>
      <c r="I125" s="2" t="s">
        <v>303</v>
      </c>
      <c r="J125" s="2" t="s">
        <v>316</v>
      </c>
      <c r="K125" s="2"/>
      <c r="L125" s="2"/>
      <c r="M125" s="2" t="s">
        <v>323</v>
      </c>
      <c r="N125" s="2">
        <v>362</v>
      </c>
      <c r="O125" s="4">
        <v>175765</v>
      </c>
      <c r="P125" s="5">
        <f t="shared" si="2"/>
        <v>0.48553867403314915</v>
      </c>
      <c r="Q125" s="4">
        <f t="shared" si="3"/>
        <v>104.99701314217444</v>
      </c>
    </row>
    <row r="126" spans="1:17" x14ac:dyDescent="0.25">
      <c r="A126" s="2" t="s">
        <v>27</v>
      </c>
      <c r="B126" s="2" t="s">
        <v>167</v>
      </c>
      <c r="C126" s="2" t="s">
        <v>398</v>
      </c>
      <c r="D126" s="3">
        <v>97.5</v>
      </c>
      <c r="E126" s="3">
        <v>18.600000000000001</v>
      </c>
      <c r="F126" s="6">
        <v>1813</v>
      </c>
      <c r="G126" s="2"/>
      <c r="H126" s="2" t="s">
        <v>288</v>
      </c>
      <c r="I126" s="2" t="s">
        <v>303</v>
      </c>
      <c r="J126" s="2" t="s">
        <v>317</v>
      </c>
      <c r="K126" s="2"/>
      <c r="L126" s="2"/>
      <c r="M126" s="2" t="s">
        <v>323</v>
      </c>
      <c r="N126" s="2">
        <v>395</v>
      </c>
      <c r="O126" s="4">
        <v>189444</v>
      </c>
      <c r="P126" s="5">
        <f t="shared" si="2"/>
        <v>0.47960506329113922</v>
      </c>
      <c r="Q126" s="4">
        <f t="shared" si="3"/>
        <v>104.49200220628792</v>
      </c>
    </row>
    <row r="127" spans="1:17" x14ac:dyDescent="0.25">
      <c r="A127" s="2" t="s">
        <v>27</v>
      </c>
      <c r="B127" s="2" t="s">
        <v>168</v>
      </c>
      <c r="C127" s="2" t="s">
        <v>398</v>
      </c>
      <c r="D127" s="3">
        <v>105</v>
      </c>
      <c r="E127" s="3">
        <v>18.600000000000001</v>
      </c>
      <c r="F127" s="6">
        <v>1953</v>
      </c>
      <c r="G127" s="2"/>
      <c r="H127" s="2" t="s">
        <v>288</v>
      </c>
      <c r="I127" s="2" t="s">
        <v>303</v>
      </c>
      <c r="J127" s="2" t="s">
        <v>318</v>
      </c>
      <c r="K127" s="2"/>
      <c r="L127" s="2"/>
      <c r="M127" s="2" t="s">
        <v>323</v>
      </c>
      <c r="N127" s="2">
        <v>423</v>
      </c>
      <c r="O127" s="4">
        <v>205799</v>
      </c>
      <c r="P127" s="5">
        <f t="shared" si="2"/>
        <v>0.48652245862884158</v>
      </c>
      <c r="Q127" s="4">
        <f t="shared" si="3"/>
        <v>105.37583205325141</v>
      </c>
    </row>
    <row r="128" spans="1:17" x14ac:dyDescent="0.25">
      <c r="A128" s="2" t="s">
        <v>27</v>
      </c>
      <c r="B128" s="2" t="s">
        <v>169</v>
      </c>
      <c r="C128" s="2" t="s">
        <v>398</v>
      </c>
      <c r="D128" s="3">
        <v>112.5</v>
      </c>
      <c r="E128" s="3">
        <v>18.600000000000001</v>
      </c>
      <c r="F128" s="6">
        <v>2092</v>
      </c>
      <c r="G128" s="2"/>
      <c r="H128" s="2" t="s">
        <v>288</v>
      </c>
      <c r="I128" s="2" t="s">
        <v>303</v>
      </c>
      <c r="J128" s="2" t="s">
        <v>319</v>
      </c>
      <c r="K128" s="2"/>
      <c r="L128" s="2"/>
      <c r="M128" s="2" t="s">
        <v>323</v>
      </c>
      <c r="N128" s="2">
        <v>455</v>
      </c>
      <c r="O128" s="4">
        <v>219478</v>
      </c>
      <c r="P128" s="5">
        <f t="shared" si="2"/>
        <v>0.48236923076923077</v>
      </c>
      <c r="Q128" s="4">
        <f t="shared" si="3"/>
        <v>104.91300191204589</v>
      </c>
    </row>
    <row r="129" spans="1:17" x14ac:dyDescent="0.25">
      <c r="A129" s="2" t="s">
        <v>27</v>
      </c>
      <c r="B129" s="2" t="s">
        <v>170</v>
      </c>
      <c r="C129" s="2" t="s">
        <v>398</v>
      </c>
      <c r="D129" s="3">
        <v>120</v>
      </c>
      <c r="E129" s="3">
        <v>18.600000000000001</v>
      </c>
      <c r="F129" s="6">
        <v>2232</v>
      </c>
      <c r="G129" s="2"/>
      <c r="H129" s="2" t="s">
        <v>288</v>
      </c>
      <c r="I129" s="2" t="s">
        <v>303</v>
      </c>
      <c r="J129" s="2" t="s">
        <v>320</v>
      </c>
      <c r="K129" s="2"/>
      <c r="L129" s="2"/>
      <c r="M129" s="2" t="s">
        <v>323</v>
      </c>
      <c r="N129" s="2">
        <v>483</v>
      </c>
      <c r="O129" s="4">
        <v>234353</v>
      </c>
      <c r="P129" s="5">
        <f t="shared" si="2"/>
        <v>0.48520289855072463</v>
      </c>
      <c r="Q129" s="4">
        <f t="shared" si="3"/>
        <v>104.99686379928315</v>
      </c>
    </row>
    <row r="130" spans="1:17" x14ac:dyDescent="0.25">
      <c r="A130" s="2" t="s">
        <v>28</v>
      </c>
      <c r="B130" s="2" t="s">
        <v>171</v>
      </c>
      <c r="C130" s="2" t="s">
        <v>399</v>
      </c>
      <c r="D130" s="3">
        <v>30</v>
      </c>
      <c r="E130" s="3">
        <v>22.35</v>
      </c>
      <c r="F130" s="6">
        <v>670</v>
      </c>
      <c r="G130" s="2"/>
      <c r="H130" s="2" t="s">
        <v>288</v>
      </c>
      <c r="I130" s="2" t="s">
        <v>304</v>
      </c>
      <c r="J130" s="2" t="s">
        <v>308</v>
      </c>
      <c r="K130" s="2"/>
      <c r="L130" s="2"/>
      <c r="M130" s="2" t="s">
        <v>323</v>
      </c>
      <c r="N130" s="2">
        <v>145</v>
      </c>
      <c r="O130" s="4">
        <v>73649</v>
      </c>
      <c r="P130" s="5">
        <f t="shared" ref="P130:Q193" si="4">O130/(N130*1000)</f>
        <v>0.50792413793103453</v>
      </c>
      <c r="Q130" s="4">
        <f t="shared" si="3"/>
        <v>109.92388059701493</v>
      </c>
    </row>
    <row r="131" spans="1:17" x14ac:dyDescent="0.25">
      <c r="A131" s="2" t="s">
        <v>28</v>
      </c>
      <c r="B131" s="2" t="s">
        <v>172</v>
      </c>
      <c r="C131" s="2" t="s">
        <v>399</v>
      </c>
      <c r="D131" s="3">
        <v>37.5</v>
      </c>
      <c r="E131" s="3">
        <v>22.35</v>
      </c>
      <c r="F131" s="6">
        <v>838</v>
      </c>
      <c r="G131" s="2"/>
      <c r="H131" s="2" t="s">
        <v>288</v>
      </c>
      <c r="I131" s="2" t="s">
        <v>304</v>
      </c>
      <c r="J131" s="2" t="s">
        <v>309</v>
      </c>
      <c r="K131" s="2"/>
      <c r="L131" s="2"/>
      <c r="M131" s="2" t="s">
        <v>323</v>
      </c>
      <c r="N131" s="2">
        <v>178</v>
      </c>
      <c r="O131" s="4">
        <v>88889</v>
      </c>
      <c r="P131" s="5">
        <f t="shared" si="4"/>
        <v>0.49937640449438203</v>
      </c>
      <c r="Q131" s="4">
        <f t="shared" ref="Q131:Q194" si="5">O131/F131</f>
        <v>106.0727923627685</v>
      </c>
    </row>
    <row r="132" spans="1:17" x14ac:dyDescent="0.25">
      <c r="A132" s="2" t="s">
        <v>28</v>
      </c>
      <c r="B132" s="2" t="s">
        <v>173</v>
      </c>
      <c r="C132" s="2" t="s">
        <v>399</v>
      </c>
      <c r="D132" s="3">
        <v>45</v>
      </c>
      <c r="E132" s="3">
        <v>22.35</v>
      </c>
      <c r="F132" s="6">
        <v>1006</v>
      </c>
      <c r="G132" s="2"/>
      <c r="H132" s="2" t="s">
        <v>288</v>
      </c>
      <c r="I132" s="2" t="s">
        <v>304</v>
      </c>
      <c r="J132" s="2" t="s">
        <v>310</v>
      </c>
      <c r="K132" s="2"/>
      <c r="L132" s="2"/>
      <c r="M132" s="2" t="s">
        <v>323</v>
      </c>
      <c r="N132" s="2">
        <v>217</v>
      </c>
      <c r="O132" s="4">
        <v>104130</v>
      </c>
      <c r="P132" s="5">
        <f t="shared" si="4"/>
        <v>0.47986175115207375</v>
      </c>
      <c r="Q132" s="4">
        <f t="shared" si="5"/>
        <v>103.5089463220676</v>
      </c>
    </row>
    <row r="133" spans="1:17" x14ac:dyDescent="0.25">
      <c r="A133" s="2" t="s">
        <v>28</v>
      </c>
      <c r="B133" s="2" t="s">
        <v>174</v>
      </c>
      <c r="C133" s="2" t="s">
        <v>399</v>
      </c>
      <c r="D133" s="3">
        <v>52.5</v>
      </c>
      <c r="E133" s="3">
        <v>22.35</v>
      </c>
      <c r="F133" s="6">
        <v>1173</v>
      </c>
      <c r="G133" s="2"/>
      <c r="H133" s="2" t="s">
        <v>288</v>
      </c>
      <c r="I133" s="2" t="s">
        <v>304</v>
      </c>
      <c r="J133" s="2" t="s">
        <v>311</v>
      </c>
      <c r="K133" s="2"/>
      <c r="L133" s="2"/>
      <c r="M133" s="2" t="s">
        <v>323</v>
      </c>
      <c r="N133" s="2">
        <v>251</v>
      </c>
      <c r="O133" s="4">
        <v>120395</v>
      </c>
      <c r="P133" s="5">
        <f t="shared" si="4"/>
        <v>0.4796613545816733</v>
      </c>
      <c r="Q133" s="4">
        <f t="shared" si="5"/>
        <v>102.6385336743393</v>
      </c>
    </row>
    <row r="134" spans="1:17" x14ac:dyDescent="0.25">
      <c r="A134" s="2" t="s">
        <v>28</v>
      </c>
      <c r="B134" s="2" t="s">
        <v>175</v>
      </c>
      <c r="C134" s="2" t="s">
        <v>399</v>
      </c>
      <c r="D134" s="3">
        <v>60</v>
      </c>
      <c r="E134" s="3">
        <v>22.35</v>
      </c>
      <c r="F134" s="6">
        <v>1341</v>
      </c>
      <c r="G134" s="2"/>
      <c r="H134" s="2" t="s">
        <v>288</v>
      </c>
      <c r="I134" s="2" t="s">
        <v>304</v>
      </c>
      <c r="J134" s="2" t="s">
        <v>312</v>
      </c>
      <c r="K134" s="2"/>
      <c r="L134" s="2"/>
      <c r="M134" s="2" t="s">
        <v>323</v>
      </c>
      <c r="N134" s="2">
        <v>290</v>
      </c>
      <c r="O134" s="4">
        <v>135636</v>
      </c>
      <c r="P134" s="5">
        <f t="shared" si="4"/>
        <v>0.46771034482758622</v>
      </c>
      <c r="Q134" s="4">
        <f t="shared" si="5"/>
        <v>101.14541387024609</v>
      </c>
    </row>
    <row r="135" spans="1:17" x14ac:dyDescent="0.25">
      <c r="A135" s="2" t="s">
        <v>28</v>
      </c>
      <c r="B135" s="2" t="s">
        <v>176</v>
      </c>
      <c r="C135" s="2" t="s">
        <v>399</v>
      </c>
      <c r="D135" s="3">
        <v>67.5</v>
      </c>
      <c r="E135" s="3">
        <v>22.35</v>
      </c>
      <c r="F135" s="6">
        <v>1509</v>
      </c>
      <c r="G135" s="2"/>
      <c r="H135" s="2" t="s">
        <v>288</v>
      </c>
      <c r="I135" s="2" t="s">
        <v>304</v>
      </c>
      <c r="J135" s="2" t="s">
        <v>313</v>
      </c>
      <c r="K135" s="2"/>
      <c r="L135" s="2"/>
      <c r="M135" s="2" t="s">
        <v>323</v>
      </c>
      <c r="N135" s="2">
        <v>329</v>
      </c>
      <c r="O135" s="4">
        <v>150876</v>
      </c>
      <c r="P135" s="5">
        <f t="shared" si="4"/>
        <v>0.45858966565349546</v>
      </c>
      <c r="Q135" s="4">
        <f t="shared" si="5"/>
        <v>99.984095427435392</v>
      </c>
    </row>
    <row r="136" spans="1:17" x14ac:dyDescent="0.25">
      <c r="A136" s="2" t="s">
        <v>28</v>
      </c>
      <c r="B136" s="2" t="s">
        <v>177</v>
      </c>
      <c r="C136" s="2" t="s">
        <v>399</v>
      </c>
      <c r="D136" s="3">
        <v>75</v>
      </c>
      <c r="E136" s="3">
        <v>22.35</v>
      </c>
      <c r="F136" s="6">
        <v>1667</v>
      </c>
      <c r="G136" s="2"/>
      <c r="H136" s="2" t="s">
        <v>288</v>
      </c>
      <c r="I136" s="2" t="s">
        <v>304</v>
      </c>
      <c r="J136" s="2" t="s">
        <v>314</v>
      </c>
      <c r="K136" s="2"/>
      <c r="L136" s="2"/>
      <c r="M136" s="2" t="s">
        <v>323</v>
      </c>
      <c r="N136" s="2">
        <v>362</v>
      </c>
      <c r="O136" s="4">
        <v>166302</v>
      </c>
      <c r="P136" s="5">
        <f t="shared" si="4"/>
        <v>0.45939779005524861</v>
      </c>
      <c r="Q136" s="4">
        <f t="shared" si="5"/>
        <v>99.761247750449911</v>
      </c>
    </row>
    <row r="137" spans="1:17" x14ac:dyDescent="0.25">
      <c r="A137" s="2" t="s">
        <v>28</v>
      </c>
      <c r="B137" s="2" t="s">
        <v>178</v>
      </c>
      <c r="C137" s="2" t="s">
        <v>399</v>
      </c>
      <c r="D137" s="3">
        <v>82.5</v>
      </c>
      <c r="E137" s="3">
        <v>22.35</v>
      </c>
      <c r="F137" s="6">
        <v>1844</v>
      </c>
      <c r="G137" s="2"/>
      <c r="H137" s="2" t="s">
        <v>288</v>
      </c>
      <c r="I137" s="2" t="s">
        <v>304</v>
      </c>
      <c r="J137" s="2" t="s">
        <v>315</v>
      </c>
      <c r="K137" s="2"/>
      <c r="L137" s="2"/>
      <c r="M137" s="2" t="s">
        <v>323</v>
      </c>
      <c r="N137" s="2">
        <v>401</v>
      </c>
      <c r="O137" s="4">
        <v>181542</v>
      </c>
      <c r="P137" s="5">
        <f t="shared" si="4"/>
        <v>0.45272319201995015</v>
      </c>
      <c r="Q137" s="4">
        <f t="shared" si="5"/>
        <v>98.450108459869853</v>
      </c>
    </row>
    <row r="138" spans="1:17" x14ac:dyDescent="0.25">
      <c r="A138" s="2" t="s">
        <v>28</v>
      </c>
      <c r="B138" s="2" t="s">
        <v>179</v>
      </c>
      <c r="C138" s="2" t="s">
        <v>399</v>
      </c>
      <c r="D138" s="3">
        <v>90</v>
      </c>
      <c r="E138" s="3">
        <v>22.35</v>
      </c>
      <c r="F138" s="6">
        <v>2011</v>
      </c>
      <c r="G138" s="2"/>
      <c r="H138" s="2" t="s">
        <v>288</v>
      </c>
      <c r="I138" s="2" t="s">
        <v>304</v>
      </c>
      <c r="J138" s="2" t="s">
        <v>316</v>
      </c>
      <c r="K138" s="2"/>
      <c r="L138" s="2"/>
      <c r="M138" s="2" t="s">
        <v>323</v>
      </c>
      <c r="N138" s="2">
        <v>435</v>
      </c>
      <c r="O138" s="4">
        <v>196782</v>
      </c>
      <c r="P138" s="5">
        <f t="shared" si="4"/>
        <v>0.45237241379310345</v>
      </c>
      <c r="Q138" s="4">
        <f t="shared" si="5"/>
        <v>97.852809547488818</v>
      </c>
    </row>
    <row r="139" spans="1:17" x14ac:dyDescent="0.25">
      <c r="A139" s="2" t="s">
        <v>28</v>
      </c>
      <c r="B139" s="2" t="s">
        <v>180</v>
      </c>
      <c r="C139" s="2" t="s">
        <v>399</v>
      </c>
      <c r="D139" s="3">
        <v>97.5</v>
      </c>
      <c r="E139" s="3">
        <v>22.35</v>
      </c>
      <c r="F139" s="6">
        <v>2179</v>
      </c>
      <c r="G139" s="2"/>
      <c r="H139" s="2" t="s">
        <v>288</v>
      </c>
      <c r="I139" s="2" t="s">
        <v>304</v>
      </c>
      <c r="J139" s="2" t="s">
        <v>317</v>
      </c>
      <c r="K139" s="2"/>
      <c r="L139" s="2"/>
      <c r="M139" s="2" t="s">
        <v>323</v>
      </c>
      <c r="N139" s="2">
        <v>474</v>
      </c>
      <c r="O139" s="4">
        <v>212208</v>
      </c>
      <c r="P139" s="5">
        <f t="shared" si="4"/>
        <v>0.44769620253164555</v>
      </c>
      <c r="Q139" s="4">
        <f t="shared" si="5"/>
        <v>97.387792565396964</v>
      </c>
    </row>
    <row r="140" spans="1:17" x14ac:dyDescent="0.25">
      <c r="A140" s="2" t="s">
        <v>28</v>
      </c>
      <c r="B140" s="2" t="s">
        <v>181</v>
      </c>
      <c r="C140" s="2" t="s">
        <v>399</v>
      </c>
      <c r="D140" s="3">
        <v>105</v>
      </c>
      <c r="E140" s="3">
        <v>22.35</v>
      </c>
      <c r="F140" s="6">
        <v>2346</v>
      </c>
      <c r="G140" s="2"/>
      <c r="H140" s="2" t="s">
        <v>288</v>
      </c>
      <c r="I140" s="2" t="s">
        <v>304</v>
      </c>
      <c r="J140" s="2" t="s">
        <v>318</v>
      </c>
      <c r="K140" s="2"/>
      <c r="L140" s="2"/>
      <c r="M140" s="2" t="s">
        <v>323</v>
      </c>
      <c r="N140" s="2">
        <v>507</v>
      </c>
      <c r="O140" s="4">
        <v>231049</v>
      </c>
      <c r="P140" s="5">
        <f t="shared" si="4"/>
        <v>0.45571794871794874</v>
      </c>
      <c r="Q140" s="4">
        <f t="shared" si="5"/>
        <v>98.486359761295816</v>
      </c>
    </row>
    <row r="141" spans="1:17" x14ac:dyDescent="0.25">
      <c r="A141" s="2" t="s">
        <v>29</v>
      </c>
      <c r="B141" s="2" t="s">
        <v>182</v>
      </c>
      <c r="C141" s="2" t="s">
        <v>400</v>
      </c>
      <c r="D141" s="3">
        <v>30</v>
      </c>
      <c r="E141" s="3">
        <v>26.05</v>
      </c>
      <c r="F141" s="6">
        <v>781</v>
      </c>
      <c r="G141" s="2"/>
      <c r="H141" s="2" t="s">
        <v>288</v>
      </c>
      <c r="I141" s="2" t="s">
        <v>305</v>
      </c>
      <c r="J141" s="2" t="s">
        <v>308</v>
      </c>
      <c r="K141" s="2"/>
      <c r="L141" s="2"/>
      <c r="M141" s="2" t="s">
        <v>323</v>
      </c>
      <c r="N141" s="2">
        <v>169</v>
      </c>
      <c r="O141" s="4">
        <v>86673</v>
      </c>
      <c r="P141" s="5">
        <f t="shared" si="4"/>
        <v>0.51285798816568051</v>
      </c>
      <c r="Q141" s="4">
        <f t="shared" si="5"/>
        <v>110.97695262483995</v>
      </c>
    </row>
    <row r="142" spans="1:17" x14ac:dyDescent="0.25">
      <c r="A142" s="2" t="s">
        <v>29</v>
      </c>
      <c r="B142" s="2" t="s">
        <v>183</v>
      </c>
      <c r="C142" s="2" t="s">
        <v>400</v>
      </c>
      <c r="D142" s="3">
        <v>37.5</v>
      </c>
      <c r="E142" s="3">
        <v>26.05</v>
      </c>
      <c r="F142" s="6">
        <v>977</v>
      </c>
      <c r="G142" s="2"/>
      <c r="H142" s="2" t="s">
        <v>288</v>
      </c>
      <c r="I142" s="2" t="s">
        <v>305</v>
      </c>
      <c r="J142" s="2" t="s">
        <v>309</v>
      </c>
      <c r="K142" s="2"/>
      <c r="L142" s="2"/>
      <c r="M142" s="2" t="s">
        <v>323</v>
      </c>
      <c r="N142" s="2">
        <v>214</v>
      </c>
      <c r="O142" s="4">
        <v>104883</v>
      </c>
      <c r="P142" s="5">
        <f t="shared" si="4"/>
        <v>0.49010747663551402</v>
      </c>
      <c r="Q142" s="4">
        <f t="shared" si="5"/>
        <v>107.35209825997953</v>
      </c>
    </row>
    <row r="143" spans="1:17" x14ac:dyDescent="0.25">
      <c r="A143" s="2" t="s">
        <v>29</v>
      </c>
      <c r="B143" s="2" t="s">
        <v>184</v>
      </c>
      <c r="C143" s="2" t="s">
        <v>400</v>
      </c>
      <c r="D143" s="3">
        <v>45</v>
      </c>
      <c r="E143" s="3">
        <v>26.05</v>
      </c>
      <c r="F143" s="6">
        <v>1172</v>
      </c>
      <c r="G143" s="2"/>
      <c r="H143" s="2" t="s">
        <v>288</v>
      </c>
      <c r="I143" s="2" t="s">
        <v>305</v>
      </c>
      <c r="J143" s="2" t="s">
        <v>310</v>
      </c>
      <c r="K143" s="2"/>
      <c r="L143" s="2"/>
      <c r="M143" s="2" t="s">
        <v>323</v>
      </c>
      <c r="N143" s="2">
        <v>255</v>
      </c>
      <c r="O143" s="4">
        <v>123918</v>
      </c>
      <c r="P143" s="5">
        <f t="shared" si="4"/>
        <v>0.48595294117647059</v>
      </c>
      <c r="Q143" s="4">
        <f t="shared" si="5"/>
        <v>105.7320819112628</v>
      </c>
    </row>
    <row r="144" spans="1:17" x14ac:dyDescent="0.25">
      <c r="A144" s="2" t="s">
        <v>29</v>
      </c>
      <c r="B144" s="2" t="s">
        <v>185</v>
      </c>
      <c r="C144" s="2" t="s">
        <v>400</v>
      </c>
      <c r="D144" s="3">
        <v>52.5</v>
      </c>
      <c r="E144" s="3">
        <v>26.05</v>
      </c>
      <c r="F144" s="6">
        <v>1368</v>
      </c>
      <c r="G144" s="2"/>
      <c r="H144" s="2" t="s">
        <v>288</v>
      </c>
      <c r="I144" s="2" t="s">
        <v>305</v>
      </c>
      <c r="J144" s="2" t="s">
        <v>311</v>
      </c>
      <c r="K144" s="2"/>
      <c r="L144" s="2"/>
      <c r="M144" s="2" t="s">
        <v>323</v>
      </c>
      <c r="N144" s="2">
        <v>296</v>
      </c>
      <c r="O144" s="4">
        <v>142113</v>
      </c>
      <c r="P144" s="5">
        <f t="shared" si="4"/>
        <v>0.48011148648648649</v>
      </c>
      <c r="Q144" s="4">
        <f t="shared" si="5"/>
        <v>103.88377192982456</v>
      </c>
    </row>
    <row r="145" spans="1:17" x14ac:dyDescent="0.25">
      <c r="A145" s="2" t="s">
        <v>29</v>
      </c>
      <c r="B145" s="2" t="s">
        <v>186</v>
      </c>
      <c r="C145" s="2" t="s">
        <v>400</v>
      </c>
      <c r="D145" s="3">
        <v>60</v>
      </c>
      <c r="E145" s="3">
        <v>26.05</v>
      </c>
      <c r="F145" s="6">
        <v>1563</v>
      </c>
      <c r="G145" s="2"/>
      <c r="H145" s="2" t="s">
        <v>288</v>
      </c>
      <c r="I145" s="2" t="s">
        <v>305</v>
      </c>
      <c r="J145" s="2" t="s">
        <v>312</v>
      </c>
      <c r="K145" s="2"/>
      <c r="L145" s="2"/>
      <c r="M145" s="2" t="s">
        <v>323</v>
      </c>
      <c r="N145" s="2">
        <v>338</v>
      </c>
      <c r="O145" s="4">
        <v>160494</v>
      </c>
      <c r="P145" s="5">
        <f t="shared" si="4"/>
        <v>0.47483431952662725</v>
      </c>
      <c r="Q145" s="4">
        <f t="shared" si="5"/>
        <v>102.68330134357005</v>
      </c>
    </row>
    <row r="146" spans="1:17" x14ac:dyDescent="0.25">
      <c r="A146" s="2" t="s">
        <v>29</v>
      </c>
      <c r="B146" s="2" t="s">
        <v>187</v>
      </c>
      <c r="C146" s="2" t="s">
        <v>400</v>
      </c>
      <c r="D146" s="3">
        <v>67.5</v>
      </c>
      <c r="E146" s="3">
        <v>26.05</v>
      </c>
      <c r="F146" s="6">
        <v>1758</v>
      </c>
      <c r="G146" s="2"/>
      <c r="H146" s="2" t="s">
        <v>288</v>
      </c>
      <c r="I146" s="2" t="s">
        <v>305</v>
      </c>
      <c r="J146" s="2" t="s">
        <v>313</v>
      </c>
      <c r="K146" s="2"/>
      <c r="L146" s="2"/>
      <c r="M146" s="2" t="s">
        <v>323</v>
      </c>
      <c r="N146" s="2">
        <v>388</v>
      </c>
      <c r="O146" s="4">
        <v>178689</v>
      </c>
      <c r="P146" s="5">
        <f t="shared" si="4"/>
        <v>0.46053865979381442</v>
      </c>
      <c r="Q146" s="4">
        <f t="shared" si="5"/>
        <v>101.6433447098976</v>
      </c>
    </row>
    <row r="147" spans="1:17" x14ac:dyDescent="0.25">
      <c r="A147" s="2" t="s">
        <v>29</v>
      </c>
      <c r="B147" s="2" t="s">
        <v>188</v>
      </c>
      <c r="C147" s="2" t="s">
        <v>400</v>
      </c>
      <c r="D147" s="3">
        <v>75</v>
      </c>
      <c r="E147" s="3">
        <v>26.05</v>
      </c>
      <c r="F147" s="6">
        <v>1954</v>
      </c>
      <c r="G147" s="2"/>
      <c r="H147" s="2" t="s">
        <v>288</v>
      </c>
      <c r="I147" s="2" t="s">
        <v>305</v>
      </c>
      <c r="J147" s="2" t="s">
        <v>314</v>
      </c>
      <c r="K147" s="2"/>
      <c r="L147" s="2"/>
      <c r="M147" s="2" t="s">
        <v>323</v>
      </c>
      <c r="N147" s="2">
        <v>429</v>
      </c>
      <c r="O147" s="4">
        <v>197069</v>
      </c>
      <c r="P147" s="5">
        <f t="shared" si="4"/>
        <v>0.45936829836829834</v>
      </c>
      <c r="Q147" s="4">
        <f t="shared" si="5"/>
        <v>100.85414534288638</v>
      </c>
    </row>
    <row r="148" spans="1:17" x14ac:dyDescent="0.25">
      <c r="A148" s="2" t="s">
        <v>29</v>
      </c>
      <c r="B148" s="2" t="s">
        <v>189</v>
      </c>
      <c r="C148" s="2" t="s">
        <v>400</v>
      </c>
      <c r="D148" s="3">
        <v>82.5</v>
      </c>
      <c r="E148" s="3">
        <v>26.05</v>
      </c>
      <c r="F148" s="6">
        <v>2149</v>
      </c>
      <c r="G148" s="2"/>
      <c r="H148" s="2" t="s">
        <v>288</v>
      </c>
      <c r="I148" s="2" t="s">
        <v>305</v>
      </c>
      <c r="J148" s="2" t="s">
        <v>315</v>
      </c>
      <c r="K148" s="2"/>
      <c r="L148" s="2"/>
      <c r="M148" s="2" t="s">
        <v>323</v>
      </c>
      <c r="N148" s="2">
        <v>470</v>
      </c>
      <c r="O148" s="4">
        <v>215093</v>
      </c>
      <c r="P148" s="5">
        <f t="shared" si="4"/>
        <v>0.45764468085106386</v>
      </c>
      <c r="Q148" s="4">
        <f t="shared" si="5"/>
        <v>100.08980921358771</v>
      </c>
    </row>
    <row r="149" spans="1:17" x14ac:dyDescent="0.25">
      <c r="A149" s="2" t="s">
        <v>29</v>
      </c>
      <c r="B149" s="2" t="s">
        <v>190</v>
      </c>
      <c r="C149" s="2" t="s">
        <v>400</v>
      </c>
      <c r="D149" s="3">
        <v>90</v>
      </c>
      <c r="E149" s="3">
        <v>26.05</v>
      </c>
      <c r="F149" s="6">
        <v>2345</v>
      </c>
      <c r="G149" s="2"/>
      <c r="H149" s="2" t="s">
        <v>288</v>
      </c>
      <c r="I149" s="2" t="s">
        <v>305</v>
      </c>
      <c r="J149" s="2" t="s">
        <v>316</v>
      </c>
      <c r="K149" s="2"/>
      <c r="L149" s="2"/>
      <c r="M149" s="2" t="s">
        <v>323</v>
      </c>
      <c r="N149" s="2">
        <v>511</v>
      </c>
      <c r="O149" s="4">
        <v>234314</v>
      </c>
      <c r="P149" s="5">
        <f t="shared" si="4"/>
        <v>0.45854011741682976</v>
      </c>
      <c r="Q149" s="4">
        <f t="shared" si="5"/>
        <v>99.920682302771851</v>
      </c>
    </row>
    <row r="150" spans="1:17" x14ac:dyDescent="0.25">
      <c r="A150" s="2" t="s">
        <v>30</v>
      </c>
      <c r="B150" s="2" t="s">
        <v>191</v>
      </c>
      <c r="C150" s="2" t="s">
        <v>401</v>
      </c>
      <c r="D150" s="3">
        <v>30</v>
      </c>
      <c r="E150" s="3">
        <v>29.75</v>
      </c>
      <c r="F150" s="6">
        <v>892</v>
      </c>
      <c r="G150" s="2"/>
      <c r="H150" s="2" t="s">
        <v>288</v>
      </c>
      <c r="I150" s="2" t="s">
        <v>306</v>
      </c>
      <c r="J150" s="2" t="s">
        <v>308</v>
      </c>
      <c r="K150" s="2"/>
      <c r="L150" s="2"/>
      <c r="M150" s="2" t="s">
        <v>323</v>
      </c>
      <c r="N150" s="2">
        <v>193</v>
      </c>
      <c r="O150" s="4">
        <v>101561</v>
      </c>
      <c r="P150" s="5">
        <f t="shared" si="4"/>
        <v>0.52622279792746118</v>
      </c>
      <c r="Q150" s="4">
        <f t="shared" si="5"/>
        <v>113.85762331838565</v>
      </c>
    </row>
    <row r="151" spans="1:17" x14ac:dyDescent="0.25">
      <c r="A151" s="2" t="s">
        <v>30</v>
      </c>
      <c r="B151" s="2" t="s">
        <v>192</v>
      </c>
      <c r="C151" s="2" t="s">
        <v>401</v>
      </c>
      <c r="D151" s="3">
        <v>37.5</v>
      </c>
      <c r="E151" s="3">
        <v>29.75</v>
      </c>
      <c r="F151" s="6">
        <v>1116</v>
      </c>
      <c r="G151" s="2"/>
      <c r="H151" s="2" t="s">
        <v>288</v>
      </c>
      <c r="I151" s="2" t="s">
        <v>306</v>
      </c>
      <c r="J151" s="2" t="s">
        <v>309</v>
      </c>
      <c r="K151" s="2"/>
      <c r="L151" s="2"/>
      <c r="M151" s="2" t="s">
        <v>323</v>
      </c>
      <c r="N151" s="2">
        <v>238</v>
      </c>
      <c r="O151" s="4">
        <v>124076</v>
      </c>
      <c r="P151" s="5">
        <f t="shared" si="4"/>
        <v>0.52132773109243702</v>
      </c>
      <c r="Q151" s="4">
        <f t="shared" si="5"/>
        <v>111.17921146953405</v>
      </c>
    </row>
    <row r="152" spans="1:17" x14ac:dyDescent="0.25">
      <c r="A152" s="2" t="s">
        <v>30</v>
      </c>
      <c r="B152" s="2" t="s">
        <v>193</v>
      </c>
      <c r="C152" s="2" t="s">
        <v>401</v>
      </c>
      <c r="D152" s="3">
        <v>45</v>
      </c>
      <c r="E152" s="3">
        <v>29.75</v>
      </c>
      <c r="F152" s="6">
        <v>1339</v>
      </c>
      <c r="G152" s="2"/>
      <c r="H152" s="2" t="s">
        <v>288</v>
      </c>
      <c r="I152" s="2" t="s">
        <v>306</v>
      </c>
      <c r="J152" s="2" t="s">
        <v>310</v>
      </c>
      <c r="K152" s="2"/>
      <c r="L152" s="2"/>
      <c r="M152" s="2" t="s">
        <v>323</v>
      </c>
      <c r="N152" s="2">
        <v>290</v>
      </c>
      <c r="O152" s="4">
        <v>145580</v>
      </c>
      <c r="P152" s="5">
        <f t="shared" si="4"/>
        <v>0.502</v>
      </c>
      <c r="Q152" s="4">
        <f t="shared" si="5"/>
        <v>108.72292755787902</v>
      </c>
    </row>
    <row r="153" spans="1:17" x14ac:dyDescent="0.25">
      <c r="A153" s="2" t="s">
        <v>30</v>
      </c>
      <c r="B153" s="2" t="s">
        <v>194</v>
      </c>
      <c r="C153" s="2" t="s">
        <v>401</v>
      </c>
      <c r="D153" s="3">
        <v>52.5</v>
      </c>
      <c r="E153" s="3">
        <v>29.75</v>
      </c>
      <c r="F153" s="6">
        <v>1562</v>
      </c>
      <c r="G153" s="2"/>
      <c r="H153" s="2" t="s">
        <v>288</v>
      </c>
      <c r="I153" s="2" t="s">
        <v>306</v>
      </c>
      <c r="J153" s="2" t="s">
        <v>311</v>
      </c>
      <c r="K153" s="2"/>
      <c r="L153" s="2"/>
      <c r="M153" s="2" t="s">
        <v>323</v>
      </c>
      <c r="N153" s="2">
        <v>334</v>
      </c>
      <c r="O153" s="4">
        <v>167255</v>
      </c>
      <c r="P153" s="5">
        <f t="shared" si="4"/>
        <v>0.50076347305389224</v>
      </c>
      <c r="Q153" s="4">
        <f t="shared" si="5"/>
        <v>107.0774647887324</v>
      </c>
    </row>
    <row r="154" spans="1:17" x14ac:dyDescent="0.25">
      <c r="A154" s="2" t="s">
        <v>30</v>
      </c>
      <c r="B154" s="2" t="s">
        <v>195</v>
      </c>
      <c r="C154" s="2" t="s">
        <v>401</v>
      </c>
      <c r="D154" s="3">
        <v>60</v>
      </c>
      <c r="E154" s="3">
        <v>29.75</v>
      </c>
      <c r="F154" s="6">
        <v>1785</v>
      </c>
      <c r="G154" s="2"/>
      <c r="H154" s="2" t="s">
        <v>288</v>
      </c>
      <c r="I154" s="2" t="s">
        <v>306</v>
      </c>
      <c r="J154" s="2" t="s">
        <v>312</v>
      </c>
      <c r="K154" s="2"/>
      <c r="L154" s="2"/>
      <c r="M154" s="2" t="s">
        <v>323</v>
      </c>
      <c r="N154" s="2">
        <v>386</v>
      </c>
      <c r="O154" s="4">
        <v>188759</v>
      </c>
      <c r="P154" s="5">
        <f t="shared" si="4"/>
        <v>0.48901295336787565</v>
      </c>
      <c r="Q154" s="4">
        <f t="shared" si="5"/>
        <v>105.74733893557423</v>
      </c>
    </row>
    <row r="155" spans="1:17" x14ac:dyDescent="0.25">
      <c r="A155" s="2" t="s">
        <v>30</v>
      </c>
      <c r="B155" s="2" t="s">
        <v>196</v>
      </c>
      <c r="C155" s="2" t="s">
        <v>401</v>
      </c>
      <c r="D155" s="3">
        <v>67.5</v>
      </c>
      <c r="E155" s="3">
        <v>29.75</v>
      </c>
      <c r="F155" s="6">
        <v>2008</v>
      </c>
      <c r="G155" s="2"/>
      <c r="H155" s="2" t="s">
        <v>288</v>
      </c>
      <c r="I155" s="2" t="s">
        <v>306</v>
      </c>
      <c r="J155" s="2" t="s">
        <v>313</v>
      </c>
      <c r="K155" s="2"/>
      <c r="L155" s="2"/>
      <c r="M155" s="2" t="s">
        <v>323</v>
      </c>
      <c r="N155" s="2">
        <v>438</v>
      </c>
      <c r="O155" s="4">
        <v>211275</v>
      </c>
      <c r="P155" s="5">
        <f t="shared" si="4"/>
        <v>0.48236301369863016</v>
      </c>
      <c r="Q155" s="4">
        <f t="shared" si="5"/>
        <v>105.21663346613546</v>
      </c>
    </row>
    <row r="156" spans="1:17" x14ac:dyDescent="0.25">
      <c r="A156" s="2" t="s">
        <v>30</v>
      </c>
      <c r="B156" s="2" t="s">
        <v>197</v>
      </c>
      <c r="C156" s="2" t="s">
        <v>401</v>
      </c>
      <c r="D156" s="3">
        <v>75</v>
      </c>
      <c r="E156" s="3">
        <v>29.75</v>
      </c>
      <c r="F156" s="6">
        <v>2231</v>
      </c>
      <c r="G156" s="2"/>
      <c r="H156" s="2" t="s">
        <v>288</v>
      </c>
      <c r="I156" s="2" t="s">
        <v>306</v>
      </c>
      <c r="J156" s="2" t="s">
        <v>314</v>
      </c>
      <c r="K156" s="2"/>
      <c r="L156" s="2"/>
      <c r="M156" s="2" t="s">
        <v>323</v>
      </c>
      <c r="N156" s="2">
        <v>483</v>
      </c>
      <c r="O156" s="4">
        <v>232950</v>
      </c>
      <c r="P156" s="5">
        <f t="shared" si="4"/>
        <v>0.48229813664596272</v>
      </c>
      <c r="Q156" s="4">
        <f t="shared" si="5"/>
        <v>104.41506051098162</v>
      </c>
    </row>
    <row r="157" spans="1:17" x14ac:dyDescent="0.25">
      <c r="A157" s="2" t="s">
        <v>30</v>
      </c>
      <c r="B157" s="2" t="s">
        <v>198</v>
      </c>
      <c r="C157" s="2" t="s">
        <v>402</v>
      </c>
      <c r="D157" s="3">
        <v>82.5</v>
      </c>
      <c r="E157" s="3">
        <v>29.75</v>
      </c>
      <c r="F157" s="6">
        <v>2454</v>
      </c>
      <c r="G157" s="2"/>
      <c r="H157" s="2" t="s">
        <v>288</v>
      </c>
      <c r="I157" s="2" t="s">
        <v>306</v>
      </c>
      <c r="J157" s="2" t="s">
        <v>315</v>
      </c>
      <c r="K157" s="2"/>
      <c r="L157" s="2"/>
      <c r="M157" s="2" t="s">
        <v>323</v>
      </c>
      <c r="N157" s="2">
        <v>535</v>
      </c>
      <c r="O157" s="4">
        <v>254454</v>
      </c>
      <c r="P157" s="5">
        <f t="shared" si="4"/>
        <v>0.47561495327102804</v>
      </c>
      <c r="Q157" s="4">
        <f t="shared" si="5"/>
        <v>103.68948655256723</v>
      </c>
    </row>
    <row r="158" spans="1:17" x14ac:dyDescent="0.25">
      <c r="A158" s="2" t="s">
        <v>31</v>
      </c>
      <c r="B158" s="2" t="s">
        <v>199</v>
      </c>
      <c r="C158" s="2" t="s">
        <v>402</v>
      </c>
      <c r="D158" s="3">
        <v>30</v>
      </c>
      <c r="E158" s="3">
        <v>33.46</v>
      </c>
      <c r="F158" s="6">
        <v>1004</v>
      </c>
      <c r="G158" s="2"/>
      <c r="H158" s="2" t="s">
        <v>288</v>
      </c>
      <c r="I158" s="2" t="s">
        <v>307</v>
      </c>
      <c r="J158" s="2" t="s">
        <v>308</v>
      </c>
      <c r="K158" s="2"/>
      <c r="L158" s="2"/>
      <c r="M158" s="2" t="s">
        <v>323</v>
      </c>
      <c r="N158" s="2">
        <v>217</v>
      </c>
      <c r="O158" s="4">
        <v>118675</v>
      </c>
      <c r="P158" s="5">
        <f t="shared" si="4"/>
        <v>0.54688940092165894</v>
      </c>
      <c r="Q158" s="4">
        <f t="shared" si="5"/>
        <v>118.20219123505976</v>
      </c>
    </row>
    <row r="159" spans="1:17" x14ac:dyDescent="0.25">
      <c r="A159" s="2" t="s">
        <v>31</v>
      </c>
      <c r="B159" s="2" t="s">
        <v>200</v>
      </c>
      <c r="C159" s="2" t="s">
        <v>402</v>
      </c>
      <c r="D159" s="3">
        <v>37.5</v>
      </c>
      <c r="E159" s="3">
        <v>33.46</v>
      </c>
      <c r="F159" s="6">
        <v>1255</v>
      </c>
      <c r="G159" s="2"/>
      <c r="H159" s="2" t="s">
        <v>288</v>
      </c>
      <c r="I159" s="2" t="s">
        <v>307</v>
      </c>
      <c r="J159" s="2" t="s">
        <v>309</v>
      </c>
      <c r="K159" s="2"/>
      <c r="L159" s="2"/>
      <c r="M159" s="2" t="s">
        <v>323</v>
      </c>
      <c r="N159" s="2">
        <v>273</v>
      </c>
      <c r="O159" s="4">
        <v>144950</v>
      </c>
      <c r="P159" s="5">
        <f t="shared" si="4"/>
        <v>0.53095238095238095</v>
      </c>
      <c r="Q159" s="4">
        <f t="shared" si="5"/>
        <v>115.4980079681275</v>
      </c>
    </row>
    <row r="160" spans="1:17" x14ac:dyDescent="0.25">
      <c r="A160" s="2" t="s">
        <v>31</v>
      </c>
      <c r="B160" s="2" t="s">
        <v>201</v>
      </c>
      <c r="C160" s="2" t="s">
        <v>402</v>
      </c>
      <c r="D160" s="3">
        <v>45</v>
      </c>
      <c r="E160" s="3">
        <v>33.46</v>
      </c>
      <c r="F160" s="6">
        <v>1506</v>
      </c>
      <c r="G160" s="2"/>
      <c r="H160" s="2" t="s">
        <v>288</v>
      </c>
      <c r="I160" s="2" t="s">
        <v>307</v>
      </c>
      <c r="J160" s="2" t="s">
        <v>310</v>
      </c>
      <c r="K160" s="2"/>
      <c r="L160" s="2"/>
      <c r="M160" s="2" t="s">
        <v>323</v>
      </c>
      <c r="N160" s="2">
        <v>326</v>
      </c>
      <c r="O160" s="4">
        <v>171053</v>
      </c>
      <c r="P160" s="5">
        <f t="shared" si="4"/>
        <v>0.52470245398773008</v>
      </c>
      <c r="Q160" s="4">
        <f t="shared" si="5"/>
        <v>113.58100929614874</v>
      </c>
    </row>
    <row r="161" spans="1:17" x14ac:dyDescent="0.25">
      <c r="A161" s="2" t="s">
        <v>31</v>
      </c>
      <c r="B161" s="2" t="s">
        <v>202</v>
      </c>
      <c r="C161" s="2" t="s">
        <v>402</v>
      </c>
      <c r="D161" s="3">
        <v>52.5</v>
      </c>
      <c r="E161" s="3">
        <v>33.46</v>
      </c>
      <c r="F161" s="6">
        <v>1757</v>
      </c>
      <c r="G161" s="2"/>
      <c r="H161" s="2" t="s">
        <v>288</v>
      </c>
      <c r="I161" s="2" t="s">
        <v>307</v>
      </c>
      <c r="J161" s="2" t="s">
        <v>311</v>
      </c>
      <c r="K161" s="2"/>
      <c r="L161" s="2"/>
      <c r="M161" s="2" t="s">
        <v>323</v>
      </c>
      <c r="N161" s="2">
        <v>377</v>
      </c>
      <c r="O161" s="4">
        <v>197329</v>
      </c>
      <c r="P161" s="5">
        <f t="shared" si="4"/>
        <v>0.52341909814323606</v>
      </c>
      <c r="Q161" s="4">
        <f t="shared" si="5"/>
        <v>112.31018782014797</v>
      </c>
    </row>
    <row r="162" spans="1:17" x14ac:dyDescent="0.25">
      <c r="A162" s="2" t="s">
        <v>31</v>
      </c>
      <c r="B162" s="2" t="s">
        <v>203</v>
      </c>
      <c r="C162" s="2" t="s">
        <v>402</v>
      </c>
      <c r="D162" s="3">
        <v>60</v>
      </c>
      <c r="E162" s="3">
        <v>33.46</v>
      </c>
      <c r="F162" s="6">
        <v>2008</v>
      </c>
      <c r="G162" s="2"/>
      <c r="H162" s="2" t="s">
        <v>288</v>
      </c>
      <c r="I162" s="2" t="s">
        <v>307</v>
      </c>
      <c r="J162" s="2" t="s">
        <v>312</v>
      </c>
      <c r="K162" s="2"/>
      <c r="L162" s="2"/>
      <c r="M162" s="2" t="s">
        <v>323</v>
      </c>
      <c r="N162" s="2">
        <v>435</v>
      </c>
      <c r="O162" s="4">
        <v>224273</v>
      </c>
      <c r="P162" s="5">
        <f t="shared" si="4"/>
        <v>0.51557011494252869</v>
      </c>
      <c r="Q162" s="4">
        <f t="shared" si="5"/>
        <v>111.68974103585657</v>
      </c>
    </row>
    <row r="163" spans="1:17" x14ac:dyDescent="0.25">
      <c r="A163" s="2" t="s">
        <v>31</v>
      </c>
      <c r="B163" s="2" t="s">
        <v>204</v>
      </c>
      <c r="C163" s="2" t="s">
        <v>402</v>
      </c>
      <c r="D163" s="3">
        <v>67.5</v>
      </c>
      <c r="E163" s="3">
        <v>33.46</v>
      </c>
      <c r="F163" s="6">
        <v>2259</v>
      </c>
      <c r="G163" s="2"/>
      <c r="H163" s="2" t="s">
        <v>288</v>
      </c>
      <c r="I163" s="2" t="s">
        <v>307</v>
      </c>
      <c r="J163" s="2" t="s">
        <v>313</v>
      </c>
      <c r="K163" s="2"/>
      <c r="L163" s="2"/>
      <c r="M163" s="2" t="s">
        <v>323</v>
      </c>
      <c r="N163" s="2">
        <v>494</v>
      </c>
      <c r="O163" s="4">
        <v>250376</v>
      </c>
      <c r="P163" s="5">
        <f t="shared" si="4"/>
        <v>0.50683400809716594</v>
      </c>
      <c r="Q163" s="4">
        <f t="shared" si="5"/>
        <v>110.8348826914564</v>
      </c>
    </row>
    <row r="164" spans="1:17" x14ac:dyDescent="0.25">
      <c r="A164" s="2" t="s">
        <v>31</v>
      </c>
      <c r="B164" s="2" t="s">
        <v>205</v>
      </c>
      <c r="C164" s="2" t="s">
        <v>402</v>
      </c>
      <c r="D164" s="3">
        <v>75</v>
      </c>
      <c r="E164" s="3">
        <v>33.46</v>
      </c>
      <c r="F164" s="6">
        <v>2510</v>
      </c>
      <c r="G164" s="2"/>
      <c r="H164" s="2" t="s">
        <v>288</v>
      </c>
      <c r="I164" s="2" t="s">
        <v>307</v>
      </c>
      <c r="J164" s="2" t="s">
        <v>314</v>
      </c>
      <c r="K164" s="2"/>
      <c r="L164" s="2"/>
      <c r="M164" s="2" t="s">
        <v>323</v>
      </c>
      <c r="N164" s="2">
        <v>546</v>
      </c>
      <c r="O164" s="4">
        <v>276651</v>
      </c>
      <c r="P164" s="5">
        <f t="shared" si="4"/>
        <v>0.50668681318681319</v>
      </c>
      <c r="Q164" s="4">
        <f t="shared" si="5"/>
        <v>110.2195219123506</v>
      </c>
    </row>
    <row r="165" spans="1:17" x14ac:dyDescent="0.25">
      <c r="A165" s="2" t="s">
        <v>32</v>
      </c>
      <c r="B165" s="2" t="s">
        <v>206</v>
      </c>
      <c r="C165" s="2" t="s">
        <v>403</v>
      </c>
      <c r="D165" s="3">
        <v>30</v>
      </c>
      <c r="E165" s="3">
        <v>33.6</v>
      </c>
      <c r="F165" s="6">
        <v>1008</v>
      </c>
      <c r="G165" s="2" t="s">
        <v>275</v>
      </c>
      <c r="H165" s="2" t="s">
        <v>287</v>
      </c>
      <c r="I165" s="2" t="s">
        <v>302</v>
      </c>
      <c r="J165" s="2" t="s">
        <v>308</v>
      </c>
      <c r="K165" s="2"/>
      <c r="L165" s="2"/>
      <c r="M165" s="2"/>
      <c r="N165" s="2">
        <v>217</v>
      </c>
      <c r="O165" s="4">
        <v>105010</v>
      </c>
      <c r="P165" s="5">
        <f t="shared" si="4"/>
        <v>0.48391705069124424</v>
      </c>
      <c r="Q165" s="4">
        <f t="shared" si="5"/>
        <v>104.1765873015873</v>
      </c>
    </row>
    <row r="166" spans="1:17" x14ac:dyDescent="0.25">
      <c r="A166" s="2" t="s">
        <v>32</v>
      </c>
      <c r="B166" s="2" t="s">
        <v>207</v>
      </c>
      <c r="C166" s="2" t="s">
        <v>403</v>
      </c>
      <c r="D166" s="3">
        <v>37.5</v>
      </c>
      <c r="E166" s="3">
        <v>33.6</v>
      </c>
      <c r="F166" s="6">
        <v>1260</v>
      </c>
      <c r="G166" s="2" t="s">
        <v>275</v>
      </c>
      <c r="H166" s="2" t="s">
        <v>287</v>
      </c>
      <c r="I166" s="2" t="s">
        <v>302</v>
      </c>
      <c r="J166" s="2" t="s">
        <v>309</v>
      </c>
      <c r="K166" s="2"/>
      <c r="L166" s="2"/>
      <c r="M166" s="2"/>
      <c r="N166" s="2">
        <v>273</v>
      </c>
      <c r="O166" s="4">
        <v>126833</v>
      </c>
      <c r="P166" s="5">
        <f t="shared" si="4"/>
        <v>0.46458974358974359</v>
      </c>
      <c r="Q166" s="4">
        <f t="shared" si="5"/>
        <v>100.66111111111111</v>
      </c>
    </row>
    <row r="167" spans="1:17" x14ac:dyDescent="0.25">
      <c r="A167" s="2" t="s">
        <v>32</v>
      </c>
      <c r="B167" s="2" t="s">
        <v>208</v>
      </c>
      <c r="C167" s="2" t="s">
        <v>403</v>
      </c>
      <c r="D167" s="3">
        <v>45</v>
      </c>
      <c r="E167" s="3">
        <v>33.6</v>
      </c>
      <c r="F167" s="6">
        <v>1512</v>
      </c>
      <c r="G167" s="2" t="s">
        <v>275</v>
      </c>
      <c r="H167" s="2" t="s">
        <v>287</v>
      </c>
      <c r="I167" s="2" t="s">
        <v>302</v>
      </c>
      <c r="J167" s="2" t="s">
        <v>310</v>
      </c>
      <c r="K167" s="2"/>
      <c r="L167" s="2"/>
      <c r="M167" s="2"/>
      <c r="N167" s="2">
        <v>326</v>
      </c>
      <c r="O167" s="4">
        <v>149483</v>
      </c>
      <c r="P167" s="5">
        <f t="shared" si="4"/>
        <v>0.45853680981595091</v>
      </c>
      <c r="Q167" s="4">
        <f t="shared" si="5"/>
        <v>98.864417989417987</v>
      </c>
    </row>
    <row r="168" spans="1:17" x14ac:dyDescent="0.25">
      <c r="A168" s="2" t="s">
        <v>32</v>
      </c>
      <c r="B168" s="2" t="s">
        <v>209</v>
      </c>
      <c r="C168" s="2" t="s">
        <v>403</v>
      </c>
      <c r="D168" s="3">
        <v>52.5</v>
      </c>
      <c r="E168" s="3">
        <v>33.6</v>
      </c>
      <c r="F168" s="6">
        <v>1764</v>
      </c>
      <c r="G168" s="2" t="s">
        <v>275</v>
      </c>
      <c r="H168" s="2" t="s">
        <v>287</v>
      </c>
      <c r="I168" s="2" t="s">
        <v>302</v>
      </c>
      <c r="J168" s="2" t="s">
        <v>311</v>
      </c>
      <c r="K168" s="2"/>
      <c r="L168" s="2"/>
      <c r="M168" s="2"/>
      <c r="N168" s="2">
        <v>377</v>
      </c>
      <c r="O168" s="4">
        <v>171307</v>
      </c>
      <c r="P168" s="5">
        <f t="shared" si="4"/>
        <v>0.45439522546419098</v>
      </c>
      <c r="Q168" s="4">
        <f t="shared" si="5"/>
        <v>97.112811791383223</v>
      </c>
    </row>
    <row r="169" spans="1:17" x14ac:dyDescent="0.25">
      <c r="A169" s="2" t="s">
        <v>32</v>
      </c>
      <c r="B169" s="2" t="s">
        <v>210</v>
      </c>
      <c r="C169" s="2" t="s">
        <v>403</v>
      </c>
      <c r="D169" s="3">
        <v>60</v>
      </c>
      <c r="E169" s="3">
        <v>33.6</v>
      </c>
      <c r="F169" s="6">
        <v>2016</v>
      </c>
      <c r="G169" s="2" t="s">
        <v>275</v>
      </c>
      <c r="H169" s="2" t="s">
        <v>287</v>
      </c>
      <c r="I169" s="2" t="s">
        <v>302</v>
      </c>
      <c r="J169" s="2" t="s">
        <v>312</v>
      </c>
      <c r="K169" s="2"/>
      <c r="L169" s="2"/>
      <c r="M169" s="2"/>
      <c r="N169" s="2">
        <v>435</v>
      </c>
      <c r="O169" s="4">
        <v>193130</v>
      </c>
      <c r="P169" s="5">
        <f t="shared" si="4"/>
        <v>0.44397701149425289</v>
      </c>
      <c r="Q169" s="4">
        <f t="shared" si="5"/>
        <v>95.798611111111114</v>
      </c>
    </row>
    <row r="170" spans="1:17" x14ac:dyDescent="0.25">
      <c r="A170" s="2" t="s">
        <v>32</v>
      </c>
      <c r="B170" s="2" t="s">
        <v>211</v>
      </c>
      <c r="C170" s="2" t="s">
        <v>403</v>
      </c>
      <c r="D170" s="3">
        <v>67.5</v>
      </c>
      <c r="E170" s="3">
        <v>33.6</v>
      </c>
      <c r="F170" s="6">
        <v>2268</v>
      </c>
      <c r="G170" s="2" t="s">
        <v>275</v>
      </c>
      <c r="H170" s="2" t="s">
        <v>287</v>
      </c>
      <c r="I170" s="2" t="s">
        <v>302</v>
      </c>
      <c r="J170" s="2" t="s">
        <v>313</v>
      </c>
      <c r="K170" s="2"/>
      <c r="L170" s="2"/>
      <c r="M170" s="2"/>
      <c r="N170" s="2">
        <v>494</v>
      </c>
      <c r="O170" s="4">
        <v>215125</v>
      </c>
      <c r="P170" s="5">
        <f t="shared" si="4"/>
        <v>0.43547570850202427</v>
      </c>
      <c r="Q170" s="4">
        <f t="shared" si="5"/>
        <v>94.85229276895943</v>
      </c>
    </row>
    <row r="171" spans="1:17" x14ac:dyDescent="0.25">
      <c r="A171" s="2" t="s">
        <v>33</v>
      </c>
      <c r="B171" s="2" t="s">
        <v>212</v>
      </c>
      <c r="C171" s="2" t="s">
        <v>404</v>
      </c>
      <c r="D171" s="3">
        <v>30</v>
      </c>
      <c r="E171" s="3">
        <v>37.200000000000003</v>
      </c>
      <c r="F171" s="6">
        <v>1116</v>
      </c>
      <c r="G171" s="2" t="s">
        <v>276</v>
      </c>
      <c r="H171" s="2" t="s">
        <v>287</v>
      </c>
      <c r="I171" s="2" t="s">
        <v>295</v>
      </c>
      <c r="J171" s="2" t="s">
        <v>308</v>
      </c>
      <c r="K171" s="2"/>
      <c r="L171" s="2"/>
      <c r="M171" s="2"/>
      <c r="N171" s="2">
        <v>241</v>
      </c>
      <c r="O171" s="4">
        <v>114478</v>
      </c>
      <c r="P171" s="5">
        <f t="shared" si="4"/>
        <v>0.4750124481327801</v>
      </c>
      <c r="Q171" s="4">
        <f t="shared" si="5"/>
        <v>102.57885304659499</v>
      </c>
    </row>
    <row r="172" spans="1:17" x14ac:dyDescent="0.25">
      <c r="A172" s="2" t="s">
        <v>33</v>
      </c>
      <c r="B172" s="2" t="s">
        <v>213</v>
      </c>
      <c r="C172" s="2" t="s">
        <v>404</v>
      </c>
      <c r="D172" s="3">
        <v>37.5</v>
      </c>
      <c r="E172" s="3">
        <v>37.200000000000003</v>
      </c>
      <c r="F172" s="6">
        <v>1395</v>
      </c>
      <c r="G172" s="2" t="s">
        <v>276</v>
      </c>
      <c r="H172" s="2" t="s">
        <v>287</v>
      </c>
      <c r="I172" s="2" t="s">
        <v>295</v>
      </c>
      <c r="J172" s="2" t="s">
        <v>309</v>
      </c>
      <c r="K172" s="2"/>
      <c r="L172" s="2"/>
      <c r="M172" s="2"/>
      <c r="N172" s="2">
        <v>312</v>
      </c>
      <c r="O172" s="4">
        <v>140011</v>
      </c>
      <c r="P172" s="5">
        <f t="shared" si="4"/>
        <v>0.4487532051282051</v>
      </c>
      <c r="Q172" s="4">
        <f t="shared" si="5"/>
        <v>100.3663082437276</v>
      </c>
    </row>
    <row r="173" spans="1:17" x14ac:dyDescent="0.25">
      <c r="A173" s="2" t="s">
        <v>33</v>
      </c>
      <c r="B173" s="2" t="s">
        <v>214</v>
      </c>
      <c r="C173" s="2" t="s">
        <v>404</v>
      </c>
      <c r="D173" s="3">
        <v>45</v>
      </c>
      <c r="E173" s="3">
        <v>37.200000000000003</v>
      </c>
      <c r="F173" s="6">
        <v>1674</v>
      </c>
      <c r="G173" s="2" t="s">
        <v>276</v>
      </c>
      <c r="H173" s="2" t="s">
        <v>287</v>
      </c>
      <c r="I173" s="2" t="s">
        <v>295</v>
      </c>
      <c r="J173" s="2" t="s">
        <v>310</v>
      </c>
      <c r="K173" s="2"/>
      <c r="L173" s="2"/>
      <c r="M173" s="2"/>
      <c r="N173" s="2">
        <v>372</v>
      </c>
      <c r="O173" s="4">
        <v>165060</v>
      </c>
      <c r="P173" s="5">
        <f t="shared" si="4"/>
        <v>0.44370967741935485</v>
      </c>
      <c r="Q173" s="4">
        <f t="shared" si="5"/>
        <v>98.602150537634415</v>
      </c>
    </row>
    <row r="174" spans="1:17" x14ac:dyDescent="0.25">
      <c r="A174" s="2" t="s">
        <v>33</v>
      </c>
      <c r="B174" s="2" t="s">
        <v>215</v>
      </c>
      <c r="C174" s="2" t="s">
        <v>404</v>
      </c>
      <c r="D174" s="3">
        <v>52.5</v>
      </c>
      <c r="E174" s="3">
        <v>37.200000000000003</v>
      </c>
      <c r="F174" s="6">
        <v>1953</v>
      </c>
      <c r="G174" s="2" t="s">
        <v>276</v>
      </c>
      <c r="H174" s="2" t="s">
        <v>287</v>
      </c>
      <c r="I174" s="2" t="s">
        <v>295</v>
      </c>
      <c r="J174" s="2" t="s">
        <v>311</v>
      </c>
      <c r="K174" s="2"/>
      <c r="L174" s="2"/>
      <c r="M174" s="2"/>
      <c r="N174" s="2">
        <v>431</v>
      </c>
      <c r="O174" s="4">
        <v>189753</v>
      </c>
      <c r="P174" s="5">
        <f t="shared" si="4"/>
        <v>0.44026218097447795</v>
      </c>
      <c r="Q174" s="4">
        <f t="shared" si="5"/>
        <v>97.159754224270358</v>
      </c>
    </row>
    <row r="175" spans="1:17" x14ac:dyDescent="0.25">
      <c r="A175" s="2" t="s">
        <v>33</v>
      </c>
      <c r="B175" s="2" t="s">
        <v>216</v>
      </c>
      <c r="C175" s="2" t="s">
        <v>404</v>
      </c>
      <c r="D175" s="3">
        <v>60</v>
      </c>
      <c r="E175" s="3">
        <v>37.200000000000003</v>
      </c>
      <c r="F175" s="6">
        <v>2232</v>
      </c>
      <c r="G175" s="2" t="s">
        <v>276</v>
      </c>
      <c r="H175" s="2" t="s">
        <v>287</v>
      </c>
      <c r="I175" s="2" t="s">
        <v>295</v>
      </c>
      <c r="J175" s="2" t="s">
        <v>312</v>
      </c>
      <c r="K175" s="2"/>
      <c r="L175" s="2"/>
      <c r="M175" s="2"/>
      <c r="N175" s="2">
        <v>491</v>
      </c>
      <c r="O175" s="4">
        <v>214446</v>
      </c>
      <c r="P175" s="5">
        <f t="shared" si="4"/>
        <v>0.43675356415478617</v>
      </c>
      <c r="Q175" s="4">
        <f t="shared" si="5"/>
        <v>96.077956989247312</v>
      </c>
    </row>
    <row r="176" spans="1:17" x14ac:dyDescent="0.25">
      <c r="A176" s="2" t="s">
        <v>34</v>
      </c>
      <c r="B176" s="2" t="s">
        <v>217</v>
      </c>
      <c r="C176" s="2" t="s">
        <v>405</v>
      </c>
      <c r="D176" s="3">
        <v>30</v>
      </c>
      <c r="E176" s="3">
        <v>41</v>
      </c>
      <c r="F176" s="6">
        <v>1230</v>
      </c>
      <c r="G176" s="2" t="s">
        <v>277</v>
      </c>
      <c r="H176" s="2" t="s">
        <v>287</v>
      </c>
      <c r="I176" s="2" t="s">
        <v>296</v>
      </c>
      <c r="J176" s="2" t="s">
        <v>308</v>
      </c>
      <c r="K176" s="2"/>
      <c r="L176" s="2"/>
      <c r="M176" s="2"/>
      <c r="N176" s="2">
        <v>265</v>
      </c>
      <c r="O176" s="4">
        <v>128898</v>
      </c>
      <c r="P176" s="5">
        <f t="shared" si="4"/>
        <v>0.48640754716981133</v>
      </c>
      <c r="Q176" s="4">
        <f t="shared" si="5"/>
        <v>104.79512195121951</v>
      </c>
    </row>
    <row r="177" spans="1:17" x14ac:dyDescent="0.25">
      <c r="A177" s="2" t="s">
        <v>34</v>
      </c>
      <c r="B177" s="2" t="s">
        <v>218</v>
      </c>
      <c r="C177" s="2" t="s">
        <v>405</v>
      </c>
      <c r="D177" s="3">
        <v>37.5</v>
      </c>
      <c r="E177" s="3">
        <v>41</v>
      </c>
      <c r="F177" s="6">
        <v>1537</v>
      </c>
      <c r="G177" s="2" t="s">
        <v>277</v>
      </c>
      <c r="H177" s="2" t="s">
        <v>287</v>
      </c>
      <c r="I177" s="2" t="s">
        <v>296</v>
      </c>
      <c r="J177" s="2" t="s">
        <v>309</v>
      </c>
      <c r="K177" s="2"/>
      <c r="L177" s="2"/>
      <c r="M177" s="2"/>
      <c r="N177" s="2">
        <v>332</v>
      </c>
      <c r="O177" s="4">
        <v>150993</v>
      </c>
      <c r="P177" s="5">
        <f t="shared" si="4"/>
        <v>0.45479819277108435</v>
      </c>
      <c r="Q177" s="4">
        <f t="shared" si="5"/>
        <v>98.238776837996099</v>
      </c>
    </row>
    <row r="178" spans="1:17" x14ac:dyDescent="0.25">
      <c r="A178" s="2" t="s">
        <v>34</v>
      </c>
      <c r="B178" s="2" t="s">
        <v>219</v>
      </c>
      <c r="C178" s="2" t="s">
        <v>405</v>
      </c>
      <c r="D178" s="3">
        <v>45</v>
      </c>
      <c r="E178" s="3">
        <v>41</v>
      </c>
      <c r="F178" s="6">
        <v>1845</v>
      </c>
      <c r="G178" s="2" t="s">
        <v>277</v>
      </c>
      <c r="H178" s="2" t="s">
        <v>287</v>
      </c>
      <c r="I178" s="2" t="s">
        <v>296</v>
      </c>
      <c r="J178" s="2" t="s">
        <v>310</v>
      </c>
      <c r="K178" s="2"/>
      <c r="L178" s="2"/>
      <c r="M178" s="2"/>
      <c r="N178" s="2">
        <v>398</v>
      </c>
      <c r="O178" s="4">
        <v>177248</v>
      </c>
      <c r="P178" s="5">
        <f t="shared" si="4"/>
        <v>0.44534673366834171</v>
      </c>
      <c r="Q178" s="4">
        <f t="shared" si="5"/>
        <v>96.069376693766941</v>
      </c>
    </row>
    <row r="179" spans="1:17" x14ac:dyDescent="0.25">
      <c r="A179" s="2" t="s">
        <v>34</v>
      </c>
      <c r="B179" s="2" t="s">
        <v>220</v>
      </c>
      <c r="C179" s="2" t="s">
        <v>405</v>
      </c>
      <c r="D179" s="3">
        <v>52.5</v>
      </c>
      <c r="E179" s="3">
        <v>41</v>
      </c>
      <c r="F179" s="6">
        <v>2152</v>
      </c>
      <c r="G179" s="2" t="s">
        <v>277</v>
      </c>
      <c r="H179" s="2" t="s">
        <v>287</v>
      </c>
      <c r="I179" s="2" t="s">
        <v>296</v>
      </c>
      <c r="J179" s="2" t="s">
        <v>311</v>
      </c>
      <c r="K179" s="2"/>
      <c r="L179" s="2"/>
      <c r="M179" s="2"/>
      <c r="N179" s="2">
        <v>460</v>
      </c>
      <c r="O179" s="4">
        <v>203673</v>
      </c>
      <c r="P179" s="5">
        <f t="shared" si="4"/>
        <v>0.44276739130434783</v>
      </c>
      <c r="Q179" s="4">
        <f t="shared" si="5"/>
        <v>94.643587360594793</v>
      </c>
    </row>
    <row r="180" spans="1:17" x14ac:dyDescent="0.25">
      <c r="A180" s="2" t="s">
        <v>35</v>
      </c>
      <c r="B180" s="2" t="s">
        <v>221</v>
      </c>
      <c r="C180" s="2" t="s">
        <v>406</v>
      </c>
      <c r="D180" s="3">
        <v>30</v>
      </c>
      <c r="E180" s="3">
        <v>45</v>
      </c>
      <c r="F180" s="6">
        <v>1350</v>
      </c>
      <c r="G180" s="2" t="s">
        <v>278</v>
      </c>
      <c r="H180" s="2" t="s">
        <v>287</v>
      </c>
      <c r="I180" s="2" t="s">
        <v>297</v>
      </c>
      <c r="J180" s="2" t="s">
        <v>308</v>
      </c>
      <c r="K180" s="2"/>
      <c r="L180" s="2"/>
      <c r="M180" s="2"/>
      <c r="N180" s="2">
        <v>290</v>
      </c>
      <c r="O180" s="4">
        <v>139163</v>
      </c>
      <c r="P180" s="5">
        <f t="shared" si="4"/>
        <v>0.47987241379310347</v>
      </c>
      <c r="Q180" s="4">
        <f t="shared" si="5"/>
        <v>103.0837037037037</v>
      </c>
    </row>
    <row r="181" spans="1:17" x14ac:dyDescent="0.25">
      <c r="A181" s="2" t="s">
        <v>35</v>
      </c>
      <c r="B181" s="2" t="s">
        <v>222</v>
      </c>
      <c r="C181" s="2" t="s">
        <v>406</v>
      </c>
      <c r="D181" s="3">
        <v>37.5</v>
      </c>
      <c r="E181" s="3">
        <v>45</v>
      </c>
      <c r="F181" s="6">
        <v>1687</v>
      </c>
      <c r="G181" s="2" t="s">
        <v>278</v>
      </c>
      <c r="H181" s="2" t="s">
        <v>287</v>
      </c>
      <c r="I181" s="2" t="s">
        <v>297</v>
      </c>
      <c r="J181" s="2" t="s">
        <v>309</v>
      </c>
      <c r="K181" s="2"/>
      <c r="L181" s="2"/>
      <c r="M181" s="2"/>
      <c r="N181" s="2">
        <v>371</v>
      </c>
      <c r="O181" s="4">
        <v>168652</v>
      </c>
      <c r="P181" s="5">
        <f t="shared" si="4"/>
        <v>0.45458760107816709</v>
      </c>
      <c r="Q181" s="4">
        <f t="shared" si="5"/>
        <v>99.971547125074096</v>
      </c>
    </row>
    <row r="182" spans="1:17" x14ac:dyDescent="0.25">
      <c r="A182" s="2" t="s">
        <v>35</v>
      </c>
      <c r="B182" s="2" t="s">
        <v>223</v>
      </c>
      <c r="C182" s="2" t="s">
        <v>406</v>
      </c>
      <c r="D182" s="3">
        <v>45</v>
      </c>
      <c r="E182" s="3">
        <v>45</v>
      </c>
      <c r="F182" s="6">
        <v>2025</v>
      </c>
      <c r="G182" s="2" t="s">
        <v>278</v>
      </c>
      <c r="H182" s="2" t="s">
        <v>287</v>
      </c>
      <c r="I182" s="2" t="s">
        <v>297</v>
      </c>
      <c r="J182" s="2" t="s">
        <v>310</v>
      </c>
      <c r="K182" s="2"/>
      <c r="L182" s="2"/>
      <c r="M182" s="2"/>
      <c r="N182" s="2">
        <v>441</v>
      </c>
      <c r="O182" s="4">
        <v>197270</v>
      </c>
      <c r="P182" s="5">
        <f t="shared" si="4"/>
        <v>0.44732426303854878</v>
      </c>
      <c r="Q182" s="4">
        <f t="shared" si="5"/>
        <v>97.417283950617289</v>
      </c>
    </row>
    <row r="183" spans="1:17" x14ac:dyDescent="0.25">
      <c r="A183" s="2" t="s">
        <v>36</v>
      </c>
      <c r="B183" s="2" t="s">
        <v>224</v>
      </c>
      <c r="C183" s="2" t="s">
        <v>407</v>
      </c>
      <c r="D183" s="3">
        <v>30</v>
      </c>
      <c r="E183" s="3">
        <v>48</v>
      </c>
      <c r="F183" s="6">
        <v>1440</v>
      </c>
      <c r="G183" s="2" t="s">
        <v>279</v>
      </c>
      <c r="H183" s="2" t="s">
        <v>287</v>
      </c>
      <c r="I183" s="2" t="s">
        <v>298</v>
      </c>
      <c r="J183" s="2" t="s">
        <v>308</v>
      </c>
      <c r="K183" s="2"/>
      <c r="L183" s="2"/>
      <c r="M183" s="2"/>
      <c r="N183" s="2">
        <v>314</v>
      </c>
      <c r="O183" s="4">
        <v>155449</v>
      </c>
      <c r="P183" s="5">
        <f t="shared" si="4"/>
        <v>0.4950605095541401</v>
      </c>
      <c r="Q183" s="4">
        <f t="shared" si="5"/>
        <v>107.95069444444445</v>
      </c>
    </row>
    <row r="184" spans="1:17" x14ac:dyDescent="0.25">
      <c r="A184" s="2" t="s">
        <v>36</v>
      </c>
      <c r="B184" s="2" t="s">
        <v>225</v>
      </c>
      <c r="C184" s="2" t="s">
        <v>407</v>
      </c>
      <c r="D184" s="3">
        <v>37.5</v>
      </c>
      <c r="E184" s="3">
        <v>48</v>
      </c>
      <c r="F184" s="6">
        <v>1800</v>
      </c>
      <c r="G184" s="2" t="s">
        <v>279</v>
      </c>
      <c r="H184" s="2" t="s">
        <v>287</v>
      </c>
      <c r="I184" s="2" t="s">
        <v>298</v>
      </c>
      <c r="J184" s="2" t="s">
        <v>309</v>
      </c>
      <c r="K184" s="2"/>
      <c r="L184" s="2"/>
      <c r="M184" s="2"/>
      <c r="N184" s="2">
        <v>410</v>
      </c>
      <c r="O184" s="4">
        <v>188698</v>
      </c>
      <c r="P184" s="5">
        <f t="shared" si="4"/>
        <v>0.46023902439024389</v>
      </c>
      <c r="Q184" s="4">
        <f t="shared" si="5"/>
        <v>104.83222222222223</v>
      </c>
    </row>
    <row r="185" spans="1:17" x14ac:dyDescent="0.25">
      <c r="A185" s="2" t="s">
        <v>36</v>
      </c>
      <c r="B185" s="2" t="s">
        <v>226</v>
      </c>
      <c r="C185" s="2" t="s">
        <v>407</v>
      </c>
      <c r="D185" s="3">
        <v>45</v>
      </c>
      <c r="E185" s="3">
        <v>48</v>
      </c>
      <c r="F185" s="6">
        <v>2160</v>
      </c>
      <c r="G185" s="2" t="s">
        <v>279</v>
      </c>
      <c r="H185" s="2" t="s">
        <v>287</v>
      </c>
      <c r="I185" s="2" t="s">
        <v>298</v>
      </c>
      <c r="J185" s="2" t="s">
        <v>310</v>
      </c>
      <c r="K185" s="2"/>
      <c r="L185" s="2"/>
      <c r="M185" s="2"/>
      <c r="N185" s="2">
        <v>488</v>
      </c>
      <c r="O185" s="4">
        <v>221592</v>
      </c>
      <c r="P185" s="5">
        <f t="shared" si="4"/>
        <v>0.45408196721311478</v>
      </c>
      <c r="Q185" s="4">
        <f t="shared" si="5"/>
        <v>102.58888888888889</v>
      </c>
    </row>
    <row r="186" spans="1:17" x14ac:dyDescent="0.25">
      <c r="A186" s="2" t="s">
        <v>37</v>
      </c>
      <c r="B186" s="2" t="s">
        <v>227</v>
      </c>
      <c r="C186" s="2" t="s">
        <v>408</v>
      </c>
      <c r="D186" s="3">
        <v>30</v>
      </c>
      <c r="E186" s="3">
        <v>23</v>
      </c>
      <c r="F186" s="6">
        <v>690</v>
      </c>
      <c r="G186" s="2" t="s">
        <v>280</v>
      </c>
      <c r="H186" s="2" t="s">
        <v>289</v>
      </c>
      <c r="I186" s="2" t="s">
        <v>302</v>
      </c>
      <c r="J186" s="2" t="s">
        <v>308</v>
      </c>
      <c r="K186" s="2"/>
      <c r="L186" s="2"/>
      <c r="M186" s="2"/>
      <c r="N186" s="2">
        <v>145</v>
      </c>
      <c r="O186" s="4">
        <v>67327</v>
      </c>
      <c r="P186" s="5">
        <f t="shared" si="4"/>
        <v>0.4643241379310345</v>
      </c>
      <c r="Q186" s="4">
        <f t="shared" si="5"/>
        <v>97.575362318840575</v>
      </c>
    </row>
    <row r="187" spans="1:17" x14ac:dyDescent="0.25">
      <c r="A187" s="2" t="s">
        <v>37</v>
      </c>
      <c r="B187" s="2" t="s">
        <v>228</v>
      </c>
      <c r="C187" s="2" t="s">
        <v>408</v>
      </c>
      <c r="D187" s="3">
        <v>37.5</v>
      </c>
      <c r="E187" s="3">
        <v>23</v>
      </c>
      <c r="F187" s="6">
        <v>862</v>
      </c>
      <c r="G187" s="2" t="s">
        <v>280</v>
      </c>
      <c r="H187" s="2" t="s">
        <v>289</v>
      </c>
      <c r="I187" s="2" t="s">
        <v>302</v>
      </c>
      <c r="J187" s="2" t="s">
        <v>309</v>
      </c>
      <c r="K187" s="2"/>
      <c r="L187" s="2"/>
      <c r="M187" s="2"/>
      <c r="N187" s="2">
        <v>178</v>
      </c>
      <c r="O187" s="4">
        <v>81415</v>
      </c>
      <c r="P187" s="5">
        <f t="shared" si="4"/>
        <v>0.45738764044943819</v>
      </c>
      <c r="Q187" s="4">
        <f t="shared" si="5"/>
        <v>94.448955916473324</v>
      </c>
    </row>
    <row r="188" spans="1:17" x14ac:dyDescent="0.25">
      <c r="A188" s="2" t="s">
        <v>37</v>
      </c>
      <c r="B188" s="2" t="s">
        <v>229</v>
      </c>
      <c r="C188" s="2" t="s">
        <v>408</v>
      </c>
      <c r="D188" s="3">
        <v>45</v>
      </c>
      <c r="E188" s="3">
        <v>23</v>
      </c>
      <c r="F188" s="6">
        <v>1035</v>
      </c>
      <c r="G188" s="2" t="s">
        <v>280</v>
      </c>
      <c r="H188" s="2" t="s">
        <v>289</v>
      </c>
      <c r="I188" s="2" t="s">
        <v>302</v>
      </c>
      <c r="J188" s="2" t="s">
        <v>310</v>
      </c>
      <c r="K188" s="2"/>
      <c r="L188" s="2"/>
      <c r="M188" s="2"/>
      <c r="N188" s="2">
        <v>217</v>
      </c>
      <c r="O188" s="4">
        <v>95503</v>
      </c>
      <c r="P188" s="5">
        <f t="shared" si="4"/>
        <v>0.44010599078341012</v>
      </c>
      <c r="Q188" s="4">
        <f t="shared" si="5"/>
        <v>92.273429951690815</v>
      </c>
    </row>
    <row r="189" spans="1:17" x14ac:dyDescent="0.25">
      <c r="A189" s="2" t="s">
        <v>37</v>
      </c>
      <c r="B189" s="2" t="s">
        <v>230</v>
      </c>
      <c r="C189" s="2" t="s">
        <v>408</v>
      </c>
      <c r="D189" s="3">
        <v>52.5</v>
      </c>
      <c r="E189" s="3">
        <v>23</v>
      </c>
      <c r="F189" s="6">
        <v>1207</v>
      </c>
      <c r="G189" s="2" t="s">
        <v>280</v>
      </c>
      <c r="H189" s="2" t="s">
        <v>289</v>
      </c>
      <c r="I189" s="2" t="s">
        <v>302</v>
      </c>
      <c r="J189" s="2" t="s">
        <v>311</v>
      </c>
      <c r="K189" s="2"/>
      <c r="L189" s="2"/>
      <c r="M189" s="2"/>
      <c r="N189" s="2">
        <v>251</v>
      </c>
      <c r="O189" s="4">
        <v>109591</v>
      </c>
      <c r="P189" s="5">
        <f t="shared" si="4"/>
        <v>0.43661752988047808</v>
      </c>
      <c r="Q189" s="4">
        <f t="shared" si="5"/>
        <v>90.796188898094442</v>
      </c>
    </row>
    <row r="190" spans="1:17" x14ac:dyDescent="0.25">
      <c r="A190" s="2" t="s">
        <v>37</v>
      </c>
      <c r="B190" s="2" t="s">
        <v>231</v>
      </c>
      <c r="C190" s="2" t="s">
        <v>408</v>
      </c>
      <c r="D190" s="3">
        <v>60</v>
      </c>
      <c r="E190" s="3">
        <v>23</v>
      </c>
      <c r="F190" s="6">
        <v>1380</v>
      </c>
      <c r="G190" s="2" t="s">
        <v>280</v>
      </c>
      <c r="H190" s="2" t="s">
        <v>289</v>
      </c>
      <c r="I190" s="2" t="s">
        <v>302</v>
      </c>
      <c r="J190" s="2" t="s">
        <v>312</v>
      </c>
      <c r="K190" s="2"/>
      <c r="L190" s="2"/>
      <c r="M190" s="2"/>
      <c r="N190" s="2">
        <v>290</v>
      </c>
      <c r="O190" s="4">
        <v>123494</v>
      </c>
      <c r="P190" s="5">
        <f t="shared" si="4"/>
        <v>0.42584137931034483</v>
      </c>
      <c r="Q190" s="4">
        <f t="shared" si="5"/>
        <v>89.48840579710145</v>
      </c>
    </row>
    <row r="191" spans="1:17" x14ac:dyDescent="0.25">
      <c r="A191" s="2" t="s">
        <v>37</v>
      </c>
      <c r="B191" s="2" t="s">
        <v>232</v>
      </c>
      <c r="C191" s="2" t="s">
        <v>408</v>
      </c>
      <c r="D191" s="3">
        <v>67.5</v>
      </c>
      <c r="E191" s="3">
        <v>23</v>
      </c>
      <c r="F191" s="6">
        <v>1552</v>
      </c>
      <c r="G191" s="2" t="s">
        <v>280</v>
      </c>
      <c r="H191" s="2" t="s">
        <v>289</v>
      </c>
      <c r="I191" s="2" t="s">
        <v>302</v>
      </c>
      <c r="J191" s="2" t="s">
        <v>313</v>
      </c>
      <c r="K191" s="2"/>
      <c r="L191" s="2"/>
      <c r="M191" s="2"/>
      <c r="N191" s="2">
        <v>329</v>
      </c>
      <c r="O191" s="4">
        <v>138422</v>
      </c>
      <c r="P191" s="5">
        <f t="shared" si="4"/>
        <v>0.4207355623100304</v>
      </c>
      <c r="Q191" s="4">
        <f t="shared" si="5"/>
        <v>89.189432989690715</v>
      </c>
    </row>
    <row r="192" spans="1:17" x14ac:dyDescent="0.25">
      <c r="A192" s="2" t="s">
        <v>37</v>
      </c>
      <c r="B192" s="2" t="s">
        <v>233</v>
      </c>
      <c r="C192" s="2" t="s">
        <v>408</v>
      </c>
      <c r="D192" s="3">
        <v>75</v>
      </c>
      <c r="E192" s="3">
        <v>23</v>
      </c>
      <c r="F192" s="6">
        <v>1725</v>
      </c>
      <c r="G192" s="2" t="s">
        <v>280</v>
      </c>
      <c r="H192" s="2" t="s">
        <v>289</v>
      </c>
      <c r="I192" s="2" t="s">
        <v>302</v>
      </c>
      <c r="J192" s="2" t="s">
        <v>314</v>
      </c>
      <c r="K192" s="2"/>
      <c r="L192" s="2"/>
      <c r="M192" s="2"/>
      <c r="N192" s="2">
        <v>362</v>
      </c>
      <c r="O192" s="4">
        <v>152510</v>
      </c>
      <c r="P192" s="5">
        <f t="shared" si="4"/>
        <v>0.42129834254143644</v>
      </c>
      <c r="Q192" s="4">
        <f t="shared" si="5"/>
        <v>88.411594202898556</v>
      </c>
    </row>
    <row r="193" spans="1:17" x14ac:dyDescent="0.25">
      <c r="A193" s="2" t="s">
        <v>37</v>
      </c>
      <c r="B193" s="2" t="s">
        <v>234</v>
      </c>
      <c r="C193" s="2" t="s">
        <v>408</v>
      </c>
      <c r="D193" s="3">
        <v>82.5</v>
      </c>
      <c r="E193" s="3">
        <v>23</v>
      </c>
      <c r="F193" s="6">
        <v>1897</v>
      </c>
      <c r="G193" s="2" t="s">
        <v>280</v>
      </c>
      <c r="H193" s="2" t="s">
        <v>289</v>
      </c>
      <c r="I193" s="2" t="s">
        <v>302</v>
      </c>
      <c r="J193" s="2" t="s">
        <v>315</v>
      </c>
      <c r="K193" s="2"/>
      <c r="L193" s="2"/>
      <c r="M193" s="2"/>
      <c r="N193" s="2">
        <v>401</v>
      </c>
      <c r="O193" s="4">
        <v>166598</v>
      </c>
      <c r="P193" s="5">
        <f t="shared" si="4"/>
        <v>0.41545635910224438</v>
      </c>
      <c r="Q193" s="4">
        <f t="shared" si="5"/>
        <v>87.821823932525035</v>
      </c>
    </row>
    <row r="194" spans="1:17" x14ac:dyDescent="0.25">
      <c r="A194" s="2" t="s">
        <v>37</v>
      </c>
      <c r="B194" s="2" t="s">
        <v>235</v>
      </c>
      <c r="C194" s="2" t="s">
        <v>408</v>
      </c>
      <c r="D194" s="3">
        <v>90</v>
      </c>
      <c r="E194" s="3">
        <v>23</v>
      </c>
      <c r="F194" s="6">
        <v>2070</v>
      </c>
      <c r="G194" s="2" t="s">
        <v>280</v>
      </c>
      <c r="H194" s="2" t="s">
        <v>289</v>
      </c>
      <c r="I194" s="2" t="s">
        <v>302</v>
      </c>
      <c r="J194" s="2" t="s">
        <v>316</v>
      </c>
      <c r="K194" s="2"/>
      <c r="L194" s="2"/>
      <c r="M194" s="2"/>
      <c r="N194" s="2">
        <v>435</v>
      </c>
      <c r="O194" s="4">
        <v>180500</v>
      </c>
      <c r="P194" s="5">
        <f t="shared" ref="P194:Q274" si="6">O194/(N194*1000)</f>
        <v>0.4149425287356322</v>
      </c>
      <c r="Q194" s="4">
        <f t="shared" si="5"/>
        <v>87.19806763285024</v>
      </c>
    </row>
    <row r="195" spans="1:17" x14ac:dyDescent="0.25">
      <c r="A195" s="2" t="s">
        <v>37</v>
      </c>
      <c r="B195" s="2" t="s">
        <v>236</v>
      </c>
      <c r="C195" s="2" t="s">
        <v>408</v>
      </c>
      <c r="D195" s="3">
        <v>97.5</v>
      </c>
      <c r="E195" s="3">
        <v>23</v>
      </c>
      <c r="F195" s="6">
        <v>2242</v>
      </c>
      <c r="G195" s="2" t="s">
        <v>280</v>
      </c>
      <c r="H195" s="2" t="s">
        <v>289</v>
      </c>
      <c r="I195" s="2" t="s">
        <v>302</v>
      </c>
      <c r="J195" s="2" t="s">
        <v>317</v>
      </c>
      <c r="K195" s="2"/>
      <c r="L195" s="2"/>
      <c r="M195" s="2"/>
      <c r="N195" s="2">
        <v>474</v>
      </c>
      <c r="O195" s="4">
        <v>194588</v>
      </c>
      <c r="P195" s="5">
        <f t="shared" si="6"/>
        <v>0.41052320675105486</v>
      </c>
      <c r="Q195" s="4">
        <f t="shared" ref="Q195:Q258" si="7">O195/F195</f>
        <v>86.792149866190897</v>
      </c>
    </row>
    <row r="196" spans="1:17" x14ac:dyDescent="0.25">
      <c r="A196" s="2" t="s">
        <v>38</v>
      </c>
      <c r="B196" s="2" t="s">
        <v>237</v>
      </c>
      <c r="C196" s="2" t="s">
        <v>409</v>
      </c>
      <c r="D196" s="3">
        <v>30</v>
      </c>
      <c r="E196" s="3">
        <v>26.6</v>
      </c>
      <c r="F196" s="6">
        <v>798</v>
      </c>
      <c r="G196" s="2" t="s">
        <v>281</v>
      </c>
      <c r="H196" s="2" t="s">
        <v>289</v>
      </c>
      <c r="I196" s="2" t="s">
        <v>295</v>
      </c>
      <c r="J196" s="2" t="s">
        <v>308</v>
      </c>
      <c r="K196" s="2"/>
      <c r="L196" s="2"/>
      <c r="M196" s="2"/>
      <c r="N196" s="2">
        <v>169</v>
      </c>
      <c r="O196" s="4">
        <v>76752</v>
      </c>
      <c r="P196" s="5">
        <f t="shared" si="6"/>
        <v>0.45415384615384613</v>
      </c>
      <c r="Q196" s="4">
        <f t="shared" si="7"/>
        <v>96.180451127819552</v>
      </c>
    </row>
    <row r="197" spans="1:17" x14ac:dyDescent="0.25">
      <c r="A197" s="2" t="s">
        <v>38</v>
      </c>
      <c r="B197" s="2" t="s">
        <v>238</v>
      </c>
      <c r="C197" s="2" t="s">
        <v>409</v>
      </c>
      <c r="D197" s="3">
        <v>37.5</v>
      </c>
      <c r="E197" s="3">
        <v>26.6</v>
      </c>
      <c r="F197" s="6">
        <v>997</v>
      </c>
      <c r="G197" s="2" t="s">
        <v>281</v>
      </c>
      <c r="H197" s="2" t="s">
        <v>289</v>
      </c>
      <c r="I197" s="2" t="s">
        <v>295</v>
      </c>
      <c r="J197" s="2" t="s">
        <v>309</v>
      </c>
      <c r="K197" s="2"/>
      <c r="L197" s="2"/>
      <c r="M197" s="2"/>
      <c r="N197" s="2">
        <v>214</v>
      </c>
      <c r="O197" s="4">
        <v>93665</v>
      </c>
      <c r="P197" s="5">
        <f t="shared" si="6"/>
        <v>0.43768691588785047</v>
      </c>
      <c r="Q197" s="4">
        <f t="shared" si="7"/>
        <v>93.946840521564695</v>
      </c>
    </row>
    <row r="198" spans="1:17" x14ac:dyDescent="0.25">
      <c r="A198" s="2" t="s">
        <v>38</v>
      </c>
      <c r="B198" s="2" t="s">
        <v>239</v>
      </c>
      <c r="C198" s="2" t="s">
        <v>409</v>
      </c>
      <c r="D198" s="3">
        <v>45</v>
      </c>
      <c r="E198" s="3">
        <v>26.6</v>
      </c>
      <c r="F198" s="6">
        <v>1197</v>
      </c>
      <c r="G198" s="2" t="s">
        <v>281</v>
      </c>
      <c r="H198" s="2" t="s">
        <v>289</v>
      </c>
      <c r="I198" s="2" t="s">
        <v>295</v>
      </c>
      <c r="J198" s="2" t="s">
        <v>310</v>
      </c>
      <c r="K198" s="2"/>
      <c r="L198" s="2"/>
      <c r="M198" s="2"/>
      <c r="N198" s="2">
        <v>255</v>
      </c>
      <c r="O198" s="4">
        <v>110579</v>
      </c>
      <c r="P198" s="5">
        <f t="shared" si="6"/>
        <v>0.43364313725490194</v>
      </c>
      <c r="Q198" s="4">
        <f t="shared" si="7"/>
        <v>92.380116959064324</v>
      </c>
    </row>
    <row r="199" spans="1:17" x14ac:dyDescent="0.25">
      <c r="A199" s="2" t="s">
        <v>38</v>
      </c>
      <c r="B199" s="2" t="s">
        <v>240</v>
      </c>
      <c r="C199" s="2" t="s">
        <v>409</v>
      </c>
      <c r="D199" s="3">
        <v>52.5</v>
      </c>
      <c r="E199" s="3">
        <v>26.6</v>
      </c>
      <c r="F199" s="6">
        <v>1396</v>
      </c>
      <c r="G199" s="2" t="s">
        <v>281</v>
      </c>
      <c r="H199" s="2" t="s">
        <v>289</v>
      </c>
      <c r="I199" s="2" t="s">
        <v>295</v>
      </c>
      <c r="J199" s="2" t="s">
        <v>311</v>
      </c>
      <c r="K199" s="2"/>
      <c r="L199" s="2"/>
      <c r="M199" s="2"/>
      <c r="N199" s="2">
        <v>296</v>
      </c>
      <c r="O199" s="4">
        <v>128332</v>
      </c>
      <c r="P199" s="5">
        <f t="shared" si="6"/>
        <v>0.43355405405405406</v>
      </c>
      <c r="Q199" s="4">
        <f t="shared" si="7"/>
        <v>91.928366762177646</v>
      </c>
    </row>
    <row r="200" spans="1:17" x14ac:dyDescent="0.25">
      <c r="A200" s="2" t="s">
        <v>38</v>
      </c>
      <c r="B200" s="2" t="s">
        <v>241</v>
      </c>
      <c r="C200" s="2" t="s">
        <v>409</v>
      </c>
      <c r="D200" s="3">
        <v>60</v>
      </c>
      <c r="E200" s="3">
        <v>26.6</v>
      </c>
      <c r="F200" s="6">
        <v>1596</v>
      </c>
      <c r="G200" s="2" t="s">
        <v>281</v>
      </c>
      <c r="H200" s="2" t="s">
        <v>289</v>
      </c>
      <c r="I200" s="2" t="s">
        <v>295</v>
      </c>
      <c r="J200" s="2" t="s">
        <v>312</v>
      </c>
      <c r="K200" s="2"/>
      <c r="L200" s="2"/>
      <c r="M200" s="2"/>
      <c r="N200" s="2">
        <v>338</v>
      </c>
      <c r="O200" s="4">
        <v>145246</v>
      </c>
      <c r="P200" s="5">
        <f t="shared" si="6"/>
        <v>0.42972189349112427</v>
      </c>
      <c r="Q200" s="4">
        <f t="shared" si="7"/>
        <v>91.006265664160395</v>
      </c>
    </row>
    <row r="201" spans="1:17" x14ac:dyDescent="0.25">
      <c r="A201" s="2" t="s">
        <v>38</v>
      </c>
      <c r="B201" s="2" t="s">
        <v>242</v>
      </c>
      <c r="C201" s="2" t="s">
        <v>409</v>
      </c>
      <c r="D201" s="3">
        <v>67.5</v>
      </c>
      <c r="E201" s="3">
        <v>26.6</v>
      </c>
      <c r="F201" s="6">
        <v>1795</v>
      </c>
      <c r="G201" s="2" t="s">
        <v>281</v>
      </c>
      <c r="H201" s="2" t="s">
        <v>289</v>
      </c>
      <c r="I201" s="2" t="s">
        <v>295</v>
      </c>
      <c r="J201" s="2" t="s">
        <v>313</v>
      </c>
      <c r="K201" s="2"/>
      <c r="L201" s="2"/>
      <c r="M201" s="2"/>
      <c r="N201" s="2">
        <v>388</v>
      </c>
      <c r="O201" s="4">
        <v>162345</v>
      </c>
      <c r="P201" s="5">
        <f t="shared" si="6"/>
        <v>0.41841494845360827</v>
      </c>
      <c r="Q201" s="4">
        <f t="shared" si="7"/>
        <v>90.442896935933149</v>
      </c>
    </row>
    <row r="202" spans="1:17" x14ac:dyDescent="0.25">
      <c r="A202" s="2" t="s">
        <v>38</v>
      </c>
      <c r="B202" s="2" t="s">
        <v>243</v>
      </c>
      <c r="C202" s="2" t="s">
        <v>409</v>
      </c>
      <c r="D202" s="3">
        <v>75</v>
      </c>
      <c r="E202" s="3">
        <v>26.6</v>
      </c>
      <c r="F202" s="6">
        <v>1995</v>
      </c>
      <c r="G202" s="2" t="s">
        <v>281</v>
      </c>
      <c r="H202" s="2" t="s">
        <v>289</v>
      </c>
      <c r="I202" s="2" t="s">
        <v>295</v>
      </c>
      <c r="J202" s="2" t="s">
        <v>314</v>
      </c>
      <c r="K202" s="2"/>
      <c r="L202" s="2"/>
      <c r="M202" s="2"/>
      <c r="N202" s="2">
        <v>429</v>
      </c>
      <c r="O202" s="4">
        <v>179087</v>
      </c>
      <c r="P202" s="5">
        <f t="shared" si="6"/>
        <v>0.41745221445221448</v>
      </c>
      <c r="Q202" s="4">
        <f t="shared" si="7"/>
        <v>89.767919799498742</v>
      </c>
    </row>
    <row r="203" spans="1:17" x14ac:dyDescent="0.25">
      <c r="A203" s="2" t="s">
        <v>38</v>
      </c>
      <c r="B203" s="2" t="s">
        <v>244</v>
      </c>
      <c r="C203" s="2" t="s">
        <v>409</v>
      </c>
      <c r="D203" s="3">
        <v>82.5</v>
      </c>
      <c r="E203" s="3">
        <v>26.6</v>
      </c>
      <c r="F203" s="6">
        <v>2194</v>
      </c>
      <c r="G203" s="2" t="s">
        <v>281</v>
      </c>
      <c r="H203" s="2" t="s">
        <v>289</v>
      </c>
      <c r="I203" s="2" t="s">
        <v>295</v>
      </c>
      <c r="J203" s="2" t="s">
        <v>315</v>
      </c>
      <c r="K203" s="2"/>
      <c r="L203" s="2"/>
      <c r="M203" s="2"/>
      <c r="N203" s="2">
        <v>470</v>
      </c>
      <c r="O203" s="4">
        <v>196001</v>
      </c>
      <c r="P203" s="5">
        <f t="shared" si="6"/>
        <v>0.41702340425531914</v>
      </c>
      <c r="Q203" s="4">
        <f t="shared" si="7"/>
        <v>89.335004557885142</v>
      </c>
    </row>
    <row r="204" spans="1:17" x14ac:dyDescent="0.25">
      <c r="A204" s="2" t="s">
        <v>39</v>
      </c>
      <c r="B204" s="2" t="s">
        <v>245</v>
      </c>
      <c r="C204" s="2" t="s">
        <v>410</v>
      </c>
      <c r="D204" s="3">
        <v>30</v>
      </c>
      <c r="E204" s="3">
        <v>30.3</v>
      </c>
      <c r="F204" s="6">
        <v>909</v>
      </c>
      <c r="G204" s="2" t="s">
        <v>282</v>
      </c>
      <c r="H204" s="2" t="s">
        <v>289</v>
      </c>
      <c r="I204" s="2" t="s">
        <v>296</v>
      </c>
      <c r="J204" s="2" t="s">
        <v>308</v>
      </c>
      <c r="K204" s="2"/>
      <c r="L204" s="2"/>
      <c r="M204" s="2"/>
      <c r="N204" s="2">
        <v>193</v>
      </c>
      <c r="O204" s="4">
        <v>86158</v>
      </c>
      <c r="P204" s="5">
        <f t="shared" si="6"/>
        <v>0.44641450777202074</v>
      </c>
      <c r="Q204" s="4">
        <f t="shared" si="7"/>
        <v>94.78327832783279</v>
      </c>
    </row>
    <row r="205" spans="1:17" x14ac:dyDescent="0.25">
      <c r="A205" s="2" t="s">
        <v>39</v>
      </c>
      <c r="B205" s="2" t="s">
        <v>246</v>
      </c>
      <c r="C205" s="2" t="s">
        <v>410</v>
      </c>
      <c r="D205" s="3">
        <v>37.5</v>
      </c>
      <c r="E205" s="3">
        <v>30.3</v>
      </c>
      <c r="F205" s="6">
        <v>1136</v>
      </c>
      <c r="G205" s="2" t="s">
        <v>282</v>
      </c>
      <c r="H205" s="2" t="s">
        <v>289</v>
      </c>
      <c r="I205" s="2" t="s">
        <v>296</v>
      </c>
      <c r="J205" s="2" t="s">
        <v>309</v>
      </c>
      <c r="K205" s="2"/>
      <c r="L205" s="2"/>
      <c r="M205" s="2"/>
      <c r="N205" s="2">
        <v>238</v>
      </c>
      <c r="O205" s="4">
        <v>104462</v>
      </c>
      <c r="P205" s="5">
        <f t="shared" si="6"/>
        <v>0.43891596638655461</v>
      </c>
      <c r="Q205" s="4">
        <f t="shared" si="7"/>
        <v>91.95598591549296</v>
      </c>
    </row>
    <row r="206" spans="1:17" x14ac:dyDescent="0.25">
      <c r="A206" s="2" t="s">
        <v>39</v>
      </c>
      <c r="B206" s="2" t="s">
        <v>247</v>
      </c>
      <c r="C206" s="2" t="s">
        <v>410</v>
      </c>
      <c r="D206" s="3">
        <v>45</v>
      </c>
      <c r="E206" s="3">
        <v>30.3</v>
      </c>
      <c r="F206" s="6">
        <v>1363</v>
      </c>
      <c r="G206" s="2" t="s">
        <v>282</v>
      </c>
      <c r="H206" s="2" t="s">
        <v>289</v>
      </c>
      <c r="I206" s="2" t="s">
        <v>296</v>
      </c>
      <c r="J206" s="2" t="s">
        <v>310</v>
      </c>
      <c r="K206" s="2"/>
      <c r="L206" s="2"/>
      <c r="M206" s="2"/>
      <c r="N206" s="2">
        <v>290</v>
      </c>
      <c r="O206" s="4">
        <v>123777</v>
      </c>
      <c r="P206" s="5">
        <f t="shared" si="6"/>
        <v>0.42681724137931032</v>
      </c>
      <c r="Q206" s="4">
        <f t="shared" si="7"/>
        <v>90.812179016874538</v>
      </c>
    </row>
    <row r="207" spans="1:17" x14ac:dyDescent="0.25">
      <c r="A207" s="2" t="s">
        <v>39</v>
      </c>
      <c r="B207" s="2" t="s">
        <v>248</v>
      </c>
      <c r="C207" s="2" t="s">
        <v>410</v>
      </c>
      <c r="D207" s="3">
        <v>52.5</v>
      </c>
      <c r="E207" s="3">
        <v>30.3</v>
      </c>
      <c r="F207" s="6">
        <v>1590</v>
      </c>
      <c r="G207" s="2" t="s">
        <v>282</v>
      </c>
      <c r="H207" s="2" t="s">
        <v>289</v>
      </c>
      <c r="I207" s="2" t="s">
        <v>296</v>
      </c>
      <c r="J207" s="2" t="s">
        <v>311</v>
      </c>
      <c r="K207" s="2"/>
      <c r="L207" s="2"/>
      <c r="M207" s="2"/>
      <c r="N207" s="2">
        <v>334</v>
      </c>
      <c r="O207" s="4">
        <v>142253</v>
      </c>
      <c r="P207" s="5">
        <f t="shared" si="6"/>
        <v>0.42590718562874252</v>
      </c>
      <c r="Q207" s="4">
        <f t="shared" si="7"/>
        <v>89.467295597484281</v>
      </c>
    </row>
    <row r="208" spans="1:17" x14ac:dyDescent="0.25">
      <c r="A208" s="2" t="s">
        <v>39</v>
      </c>
      <c r="B208" s="2" t="s">
        <v>249</v>
      </c>
      <c r="C208" s="2" t="s">
        <v>410</v>
      </c>
      <c r="D208" s="3">
        <v>60</v>
      </c>
      <c r="E208" s="3">
        <v>30.3</v>
      </c>
      <c r="F208" s="6">
        <v>1818</v>
      </c>
      <c r="G208" s="2" t="s">
        <v>282</v>
      </c>
      <c r="H208" s="2" t="s">
        <v>289</v>
      </c>
      <c r="I208" s="2" t="s">
        <v>296</v>
      </c>
      <c r="J208" s="2" t="s">
        <v>312</v>
      </c>
      <c r="K208" s="2"/>
      <c r="L208" s="2"/>
      <c r="M208" s="2"/>
      <c r="N208" s="2">
        <v>386</v>
      </c>
      <c r="O208" s="4">
        <v>160557</v>
      </c>
      <c r="P208" s="5">
        <f t="shared" si="6"/>
        <v>0.41595077720207252</v>
      </c>
      <c r="Q208" s="4">
        <f t="shared" si="7"/>
        <v>88.315181518151817</v>
      </c>
    </row>
    <row r="209" spans="1:17" x14ac:dyDescent="0.25">
      <c r="A209" s="2" t="s">
        <v>39</v>
      </c>
      <c r="B209" s="2" t="s">
        <v>250</v>
      </c>
      <c r="C209" s="2" t="s">
        <v>410</v>
      </c>
      <c r="D209" s="3">
        <v>67.5</v>
      </c>
      <c r="E209" s="3">
        <v>30.3</v>
      </c>
      <c r="F209" s="6">
        <v>2045</v>
      </c>
      <c r="G209" s="2" t="s">
        <v>282</v>
      </c>
      <c r="H209" s="2" t="s">
        <v>289</v>
      </c>
      <c r="I209" s="2" t="s">
        <v>296</v>
      </c>
      <c r="J209" s="2" t="s">
        <v>313</v>
      </c>
      <c r="K209" s="2"/>
      <c r="L209" s="2"/>
      <c r="M209" s="2"/>
      <c r="N209" s="2">
        <v>438</v>
      </c>
      <c r="O209" s="4">
        <v>179032</v>
      </c>
      <c r="P209" s="5">
        <f t="shared" si="6"/>
        <v>0.40874885844748859</v>
      </c>
      <c r="Q209" s="4">
        <f t="shared" si="7"/>
        <v>87.546210268948656</v>
      </c>
    </row>
    <row r="210" spans="1:17" x14ac:dyDescent="0.25">
      <c r="A210" s="2" t="s">
        <v>39</v>
      </c>
      <c r="B210" s="2" t="s">
        <v>251</v>
      </c>
      <c r="C210" s="2" t="s">
        <v>410</v>
      </c>
      <c r="D210" s="3">
        <v>75</v>
      </c>
      <c r="E210" s="3">
        <v>30.3</v>
      </c>
      <c r="F210" s="6">
        <v>2272</v>
      </c>
      <c r="G210" s="2" t="s">
        <v>282</v>
      </c>
      <c r="H210" s="2" t="s">
        <v>289</v>
      </c>
      <c r="I210" s="2" t="s">
        <v>296</v>
      </c>
      <c r="J210" s="2" t="s">
        <v>314</v>
      </c>
      <c r="K210" s="2"/>
      <c r="L210" s="2"/>
      <c r="M210" s="2"/>
      <c r="N210" s="2">
        <v>483</v>
      </c>
      <c r="O210" s="4">
        <v>197508</v>
      </c>
      <c r="P210" s="5">
        <f t="shared" si="6"/>
        <v>0.40891925465838508</v>
      </c>
      <c r="Q210" s="4">
        <f t="shared" si="7"/>
        <v>86.931338028169009</v>
      </c>
    </row>
    <row r="211" spans="1:17" x14ac:dyDescent="0.25">
      <c r="A211" s="2" t="s">
        <v>40</v>
      </c>
      <c r="B211" s="2" t="s">
        <v>252</v>
      </c>
      <c r="C211" s="2" t="s">
        <v>411</v>
      </c>
      <c r="D211" s="3">
        <v>30</v>
      </c>
      <c r="E211" s="3">
        <v>34</v>
      </c>
      <c r="F211" s="6">
        <v>1020</v>
      </c>
      <c r="G211" s="2" t="s">
        <v>283</v>
      </c>
      <c r="H211" s="2" t="s">
        <v>289</v>
      </c>
      <c r="I211" s="2" t="s">
        <v>297</v>
      </c>
      <c r="J211" s="2" t="s">
        <v>308</v>
      </c>
      <c r="K211" s="2"/>
      <c r="L211" s="2"/>
      <c r="M211" s="2"/>
      <c r="N211" s="2">
        <v>217</v>
      </c>
      <c r="O211" s="4">
        <v>99196</v>
      </c>
      <c r="P211" s="5">
        <f t="shared" si="6"/>
        <v>0.45712442396313363</v>
      </c>
      <c r="Q211" s="4">
        <f t="shared" si="7"/>
        <v>97.250980392156862</v>
      </c>
    </row>
    <row r="212" spans="1:17" x14ac:dyDescent="0.25">
      <c r="A212" s="2" t="s">
        <v>40</v>
      </c>
      <c r="B212" s="2" t="s">
        <v>253</v>
      </c>
      <c r="C212" s="2" t="s">
        <v>411</v>
      </c>
      <c r="D212" s="3">
        <v>37.5</v>
      </c>
      <c r="E212" s="3">
        <v>34</v>
      </c>
      <c r="F212" s="6">
        <v>1275</v>
      </c>
      <c r="G212" s="2" t="s">
        <v>283</v>
      </c>
      <c r="H212" s="2" t="s">
        <v>289</v>
      </c>
      <c r="I212" s="2" t="s">
        <v>297</v>
      </c>
      <c r="J212" s="2" t="s">
        <v>309</v>
      </c>
      <c r="K212" s="2"/>
      <c r="L212" s="2"/>
      <c r="M212" s="2"/>
      <c r="N212" s="2">
        <v>273</v>
      </c>
      <c r="O212" s="4">
        <v>121295</v>
      </c>
      <c r="P212" s="5">
        <f t="shared" si="6"/>
        <v>0.44430402930402929</v>
      </c>
      <c r="Q212" s="4">
        <f t="shared" si="7"/>
        <v>95.13333333333334</v>
      </c>
    </row>
    <row r="213" spans="1:17" x14ac:dyDescent="0.25">
      <c r="A213" s="2" t="s">
        <v>40</v>
      </c>
      <c r="B213" s="2" t="s">
        <v>254</v>
      </c>
      <c r="C213" s="2" t="s">
        <v>411</v>
      </c>
      <c r="D213" s="3">
        <v>45</v>
      </c>
      <c r="E213" s="3">
        <v>34</v>
      </c>
      <c r="F213" s="6">
        <v>1530</v>
      </c>
      <c r="G213" s="2" t="s">
        <v>283</v>
      </c>
      <c r="H213" s="2" t="s">
        <v>289</v>
      </c>
      <c r="I213" s="2" t="s">
        <v>297</v>
      </c>
      <c r="J213" s="2" t="s">
        <v>310</v>
      </c>
      <c r="K213" s="2"/>
      <c r="L213" s="2"/>
      <c r="M213" s="2"/>
      <c r="N213" s="2">
        <v>326</v>
      </c>
      <c r="O213" s="4">
        <v>142726</v>
      </c>
      <c r="P213" s="5">
        <f t="shared" si="6"/>
        <v>0.43780981595092022</v>
      </c>
      <c r="Q213" s="4">
        <f t="shared" si="7"/>
        <v>93.284967320261444</v>
      </c>
    </row>
    <row r="214" spans="1:17" x14ac:dyDescent="0.25">
      <c r="A214" s="2" t="s">
        <v>40</v>
      </c>
      <c r="B214" s="2" t="s">
        <v>255</v>
      </c>
      <c r="C214" s="2" t="s">
        <v>411</v>
      </c>
      <c r="D214" s="3">
        <v>52.5</v>
      </c>
      <c r="E214" s="3">
        <v>34</v>
      </c>
      <c r="F214" s="6">
        <v>1785</v>
      </c>
      <c r="G214" s="2" t="s">
        <v>283</v>
      </c>
      <c r="H214" s="2" t="s">
        <v>289</v>
      </c>
      <c r="I214" s="2" t="s">
        <v>297</v>
      </c>
      <c r="J214" s="2" t="s">
        <v>311</v>
      </c>
      <c r="K214" s="2"/>
      <c r="L214" s="2"/>
      <c r="M214" s="2"/>
      <c r="N214" s="2">
        <v>377</v>
      </c>
      <c r="O214" s="4">
        <v>163985</v>
      </c>
      <c r="P214" s="5">
        <f t="shared" si="6"/>
        <v>0.43497347480106102</v>
      </c>
      <c r="Q214" s="4">
        <f t="shared" si="7"/>
        <v>91.868347338935578</v>
      </c>
    </row>
    <row r="215" spans="1:17" x14ac:dyDescent="0.25">
      <c r="A215" s="2" t="s">
        <v>40</v>
      </c>
      <c r="B215" s="2" t="s">
        <v>256</v>
      </c>
      <c r="C215" s="2" t="s">
        <v>411</v>
      </c>
      <c r="D215" s="3">
        <v>60</v>
      </c>
      <c r="E215" s="3">
        <v>34</v>
      </c>
      <c r="F215" s="6">
        <v>2040</v>
      </c>
      <c r="G215" s="2" t="s">
        <v>283</v>
      </c>
      <c r="H215" s="2" t="s">
        <v>289</v>
      </c>
      <c r="I215" s="2" t="s">
        <v>297</v>
      </c>
      <c r="J215" s="2" t="s">
        <v>312</v>
      </c>
      <c r="K215" s="2"/>
      <c r="L215" s="2"/>
      <c r="M215" s="2"/>
      <c r="N215" s="2">
        <v>435</v>
      </c>
      <c r="O215" s="4">
        <v>185415</v>
      </c>
      <c r="P215" s="5">
        <f t="shared" si="6"/>
        <v>0.42624137931034484</v>
      </c>
      <c r="Q215" s="4">
        <f t="shared" si="7"/>
        <v>90.889705882352942</v>
      </c>
    </row>
    <row r="216" spans="1:17" x14ac:dyDescent="0.25">
      <c r="A216" s="2" t="s">
        <v>40</v>
      </c>
      <c r="B216" s="2" t="s">
        <v>257</v>
      </c>
      <c r="C216" s="2" t="s">
        <v>411</v>
      </c>
      <c r="D216" s="3">
        <v>67.5</v>
      </c>
      <c r="E216" s="3">
        <v>34</v>
      </c>
      <c r="F216" s="6">
        <v>2295</v>
      </c>
      <c r="G216" s="2" t="s">
        <v>283</v>
      </c>
      <c r="H216" s="2" t="s">
        <v>289</v>
      </c>
      <c r="I216" s="2" t="s">
        <v>297</v>
      </c>
      <c r="J216" s="2" t="s">
        <v>313</v>
      </c>
      <c r="K216" s="2"/>
      <c r="L216" s="2"/>
      <c r="M216" s="2"/>
      <c r="N216" s="2">
        <v>494</v>
      </c>
      <c r="O216" s="4">
        <v>206674</v>
      </c>
      <c r="P216" s="5">
        <f t="shared" si="6"/>
        <v>0.41836842105263156</v>
      </c>
      <c r="Q216" s="4">
        <f t="shared" si="7"/>
        <v>90.054030501089329</v>
      </c>
    </row>
    <row r="217" spans="1:17" x14ac:dyDescent="0.25">
      <c r="A217" s="2" t="s">
        <v>41</v>
      </c>
      <c r="B217" s="2" t="s">
        <v>258</v>
      </c>
      <c r="C217" s="2" t="s">
        <v>412</v>
      </c>
      <c r="D217" s="3">
        <v>30</v>
      </c>
      <c r="E217" s="3">
        <v>37.799999999999997</v>
      </c>
      <c r="F217" s="6">
        <v>1134</v>
      </c>
      <c r="G217" s="2" t="s">
        <v>284</v>
      </c>
      <c r="H217" s="2" t="s">
        <v>289</v>
      </c>
      <c r="I217" s="2" t="s">
        <v>298</v>
      </c>
      <c r="J217" s="2" t="s">
        <v>308</v>
      </c>
      <c r="K217" s="2"/>
      <c r="L217" s="2"/>
      <c r="M217" s="2"/>
      <c r="N217" s="2">
        <v>241</v>
      </c>
      <c r="O217" s="4">
        <v>114738</v>
      </c>
      <c r="P217" s="5">
        <f t="shared" si="6"/>
        <v>0.47609128630705394</v>
      </c>
      <c r="Q217" s="4">
        <f t="shared" si="7"/>
        <v>101.17989417989418</v>
      </c>
    </row>
    <row r="218" spans="1:17" x14ac:dyDescent="0.25">
      <c r="A218" s="2" t="s">
        <v>41</v>
      </c>
      <c r="B218" s="2" t="s">
        <v>259</v>
      </c>
      <c r="C218" s="2" t="s">
        <v>412</v>
      </c>
      <c r="D218" s="3">
        <v>37.5</v>
      </c>
      <c r="E218" s="3">
        <v>37.799999999999997</v>
      </c>
      <c r="F218" s="6">
        <v>1417</v>
      </c>
      <c r="G218" s="2" t="s">
        <v>284</v>
      </c>
      <c r="H218" s="2" t="s">
        <v>289</v>
      </c>
      <c r="I218" s="2" t="s">
        <v>298</v>
      </c>
      <c r="J218" s="2" t="s">
        <v>309</v>
      </c>
      <c r="K218" s="2"/>
      <c r="L218" s="2"/>
      <c r="M218" s="2"/>
      <c r="N218" s="2">
        <v>312</v>
      </c>
      <c r="O218" s="4">
        <v>139648</v>
      </c>
      <c r="P218" s="5">
        <f t="shared" si="6"/>
        <v>0.44758974358974357</v>
      </c>
      <c r="Q218" s="4">
        <f t="shared" si="7"/>
        <v>98.551870148200422</v>
      </c>
    </row>
    <row r="219" spans="1:17" x14ac:dyDescent="0.25">
      <c r="A219" s="2" t="s">
        <v>41</v>
      </c>
      <c r="B219" s="2" t="s">
        <v>260</v>
      </c>
      <c r="C219" s="2" t="s">
        <v>412</v>
      </c>
      <c r="D219" s="3">
        <v>45</v>
      </c>
      <c r="E219" s="3">
        <v>37.799999999999997</v>
      </c>
      <c r="F219" s="6">
        <v>1687</v>
      </c>
      <c r="G219" s="2" t="s">
        <v>284</v>
      </c>
      <c r="H219" s="2" t="s">
        <v>289</v>
      </c>
      <c r="I219" s="2" t="s">
        <v>298</v>
      </c>
      <c r="J219" s="2" t="s">
        <v>310</v>
      </c>
      <c r="K219" s="2"/>
      <c r="L219" s="2"/>
      <c r="M219" s="2"/>
      <c r="N219" s="2">
        <v>372</v>
      </c>
      <c r="O219" s="4">
        <v>164388</v>
      </c>
      <c r="P219" s="5">
        <f t="shared" si="6"/>
        <v>0.44190322580645164</v>
      </c>
      <c r="Q219" s="4">
        <f t="shared" si="7"/>
        <v>97.443983402489621</v>
      </c>
    </row>
    <row r="220" spans="1:17" x14ac:dyDescent="0.25">
      <c r="A220" s="2" t="s">
        <v>41</v>
      </c>
      <c r="B220" s="2" t="s">
        <v>261</v>
      </c>
      <c r="C220" s="2" t="s">
        <v>412</v>
      </c>
      <c r="D220" s="3">
        <v>52.5</v>
      </c>
      <c r="E220" s="3">
        <v>37.799999999999997</v>
      </c>
      <c r="F220" s="6">
        <v>1984</v>
      </c>
      <c r="G220" s="2" t="s">
        <v>284</v>
      </c>
      <c r="H220" s="2" t="s">
        <v>289</v>
      </c>
      <c r="I220" s="2" t="s">
        <v>298</v>
      </c>
      <c r="J220" s="2" t="s">
        <v>311</v>
      </c>
      <c r="K220" s="2"/>
      <c r="L220" s="2"/>
      <c r="M220" s="2"/>
      <c r="N220" s="2">
        <v>431</v>
      </c>
      <c r="O220" s="4">
        <v>188941</v>
      </c>
      <c r="P220" s="5">
        <f t="shared" si="6"/>
        <v>0.4383781902552204</v>
      </c>
      <c r="Q220" s="4">
        <f t="shared" si="7"/>
        <v>95.232358870967744</v>
      </c>
    </row>
    <row r="221" spans="1:17" x14ac:dyDescent="0.25">
      <c r="A221" s="2" t="s">
        <v>41</v>
      </c>
      <c r="B221" s="2" t="s">
        <v>262</v>
      </c>
      <c r="C221" s="2" t="s">
        <v>412</v>
      </c>
      <c r="D221" s="3">
        <v>60</v>
      </c>
      <c r="E221" s="3">
        <v>37.799999999999997</v>
      </c>
      <c r="F221" s="6">
        <v>2268</v>
      </c>
      <c r="G221" s="2" t="s">
        <v>284</v>
      </c>
      <c r="H221" s="2" t="s">
        <v>289</v>
      </c>
      <c r="I221" s="2" t="s">
        <v>298</v>
      </c>
      <c r="J221" s="2" t="s">
        <v>312</v>
      </c>
      <c r="K221" s="2"/>
      <c r="L221" s="2"/>
      <c r="M221" s="2"/>
      <c r="N221" s="2">
        <v>491</v>
      </c>
      <c r="O221" s="4">
        <v>214521</v>
      </c>
      <c r="P221" s="5">
        <f t="shared" si="6"/>
        <v>0.43690631364562116</v>
      </c>
      <c r="Q221" s="4">
        <f t="shared" si="7"/>
        <v>94.585978835978835</v>
      </c>
    </row>
    <row r="222" spans="1:17" x14ac:dyDescent="0.25">
      <c r="A222" s="2" t="s">
        <v>42</v>
      </c>
      <c r="B222" s="2" t="s">
        <v>263</v>
      </c>
      <c r="C222" s="2" t="s">
        <v>413</v>
      </c>
      <c r="D222" s="3">
        <v>30</v>
      </c>
      <c r="E222" s="3">
        <v>41.5</v>
      </c>
      <c r="F222" s="6">
        <v>1245</v>
      </c>
      <c r="G222" s="2" t="s">
        <v>285</v>
      </c>
      <c r="H222" s="2" t="s">
        <v>289</v>
      </c>
      <c r="I222" s="2" t="s">
        <v>299</v>
      </c>
      <c r="J222" s="2" t="s">
        <v>308</v>
      </c>
      <c r="K222" s="2"/>
      <c r="L222" s="2"/>
      <c r="M222" s="2"/>
      <c r="N222" s="2">
        <v>265</v>
      </c>
      <c r="O222" s="4">
        <v>131368</v>
      </c>
      <c r="P222" s="5">
        <f t="shared" si="6"/>
        <v>0.49572830188679246</v>
      </c>
      <c r="Q222" s="4">
        <f t="shared" si="7"/>
        <v>105.51646586345382</v>
      </c>
    </row>
    <row r="223" spans="1:17" x14ac:dyDescent="0.25">
      <c r="A223" s="2" t="s">
        <v>42</v>
      </c>
      <c r="B223" s="2" t="s">
        <v>264</v>
      </c>
      <c r="C223" s="2" t="s">
        <v>413</v>
      </c>
      <c r="D223" s="3">
        <v>37.5</v>
      </c>
      <c r="E223" s="3">
        <v>41.5</v>
      </c>
      <c r="F223" s="6">
        <v>1556</v>
      </c>
      <c r="G223" s="2" t="s">
        <v>285</v>
      </c>
      <c r="H223" s="2" t="s">
        <v>289</v>
      </c>
      <c r="I223" s="2" t="s">
        <v>299</v>
      </c>
      <c r="J223" s="2" t="s">
        <v>309</v>
      </c>
      <c r="K223" s="2"/>
      <c r="L223" s="2"/>
      <c r="M223" s="2"/>
      <c r="N223" s="2">
        <v>332</v>
      </c>
      <c r="O223" s="4">
        <v>160522</v>
      </c>
      <c r="P223" s="5">
        <f t="shared" si="6"/>
        <v>0.48349999999999999</v>
      </c>
      <c r="Q223" s="4">
        <f t="shared" si="7"/>
        <v>103.16323907455013</v>
      </c>
    </row>
    <row r="224" spans="1:17" x14ac:dyDescent="0.25">
      <c r="A224" s="2" t="s">
        <v>42</v>
      </c>
      <c r="B224" s="2" t="s">
        <v>265</v>
      </c>
      <c r="C224" s="2" t="s">
        <v>413</v>
      </c>
      <c r="D224" s="3">
        <v>45</v>
      </c>
      <c r="E224" s="3">
        <v>41.5</v>
      </c>
      <c r="F224" s="6">
        <v>1867</v>
      </c>
      <c r="G224" s="2" t="s">
        <v>285</v>
      </c>
      <c r="H224" s="2" t="s">
        <v>289</v>
      </c>
      <c r="I224" s="2" t="s">
        <v>299</v>
      </c>
      <c r="J224" s="2" t="s">
        <v>310</v>
      </c>
      <c r="K224" s="2"/>
      <c r="L224" s="2"/>
      <c r="M224" s="2"/>
      <c r="N224" s="2">
        <v>398</v>
      </c>
      <c r="O224" s="4">
        <v>189861</v>
      </c>
      <c r="P224" s="5">
        <f t="shared" si="6"/>
        <v>0.47703768844221106</v>
      </c>
      <c r="Q224" s="4">
        <f t="shared" si="7"/>
        <v>101.69309051955008</v>
      </c>
    </row>
    <row r="225" spans="1:17" x14ac:dyDescent="0.25">
      <c r="A225" s="2" t="s">
        <v>42</v>
      </c>
      <c r="B225" s="2" t="s">
        <v>266</v>
      </c>
      <c r="C225" s="2" t="s">
        <v>413</v>
      </c>
      <c r="D225" s="3">
        <v>52.5</v>
      </c>
      <c r="E225" s="3">
        <v>41.5</v>
      </c>
      <c r="F225" s="6">
        <v>2178</v>
      </c>
      <c r="G225" s="2" t="s">
        <v>285</v>
      </c>
      <c r="H225" s="2" t="s">
        <v>289</v>
      </c>
      <c r="I225" s="2" t="s">
        <v>299</v>
      </c>
      <c r="J225" s="2" t="s">
        <v>311</v>
      </c>
      <c r="K225" s="2"/>
      <c r="L225" s="2"/>
      <c r="M225" s="2"/>
      <c r="N225" s="2">
        <v>460</v>
      </c>
      <c r="O225" s="4">
        <v>220040</v>
      </c>
      <c r="P225" s="5">
        <f t="shared" si="6"/>
        <v>0.47834782608695653</v>
      </c>
      <c r="Q225" s="4">
        <f t="shared" si="7"/>
        <v>101.02846648301194</v>
      </c>
    </row>
    <row r="226" spans="1:17" x14ac:dyDescent="0.25">
      <c r="A226" s="2" t="s">
        <v>414</v>
      </c>
      <c r="B226" s="2" t="s">
        <v>380</v>
      </c>
      <c r="C226" s="2" t="s">
        <v>422</v>
      </c>
      <c r="D226" s="3">
        <v>30</v>
      </c>
      <c r="E226" s="3">
        <v>6.92</v>
      </c>
      <c r="F226" s="2">
        <v>207.6</v>
      </c>
      <c r="G226" s="2"/>
      <c r="H226" s="2">
        <v>2.93</v>
      </c>
      <c r="I226" s="2">
        <v>4.96</v>
      </c>
      <c r="J226" s="2" t="s">
        <v>308</v>
      </c>
      <c r="K226" s="2"/>
      <c r="L226" s="2"/>
      <c r="M226" s="2"/>
      <c r="N226" s="2">
        <v>52</v>
      </c>
      <c r="O226" s="4">
        <v>29347.8</v>
      </c>
      <c r="P226" s="5">
        <f t="shared" si="6"/>
        <v>0.56438076923076919</v>
      </c>
      <c r="Q226" s="4">
        <f t="shared" si="7"/>
        <v>141.36705202312137</v>
      </c>
    </row>
    <row r="227" spans="1:17" x14ac:dyDescent="0.25">
      <c r="A227" s="2" t="s">
        <v>414</v>
      </c>
      <c r="B227" s="2" t="s">
        <v>380</v>
      </c>
      <c r="C227" s="2" t="s">
        <v>422</v>
      </c>
      <c r="D227" s="3">
        <v>37.5</v>
      </c>
      <c r="E227" s="3">
        <v>6.92</v>
      </c>
      <c r="F227" s="2">
        <v>259.5</v>
      </c>
      <c r="G227" s="2"/>
      <c r="H227" s="2">
        <v>2.93</v>
      </c>
      <c r="I227" s="2">
        <v>4.96</v>
      </c>
      <c r="J227" s="2" t="s">
        <v>309</v>
      </c>
      <c r="K227" s="2"/>
      <c r="L227" s="2"/>
      <c r="M227" s="2"/>
      <c r="N227" s="2">
        <v>65</v>
      </c>
      <c r="O227" s="4">
        <v>34598.1</v>
      </c>
      <c r="P227" s="5">
        <f t="shared" si="6"/>
        <v>0.53227846153846148</v>
      </c>
      <c r="Q227" s="4">
        <f t="shared" si="7"/>
        <v>133.32601156069364</v>
      </c>
    </row>
    <row r="228" spans="1:17" x14ac:dyDescent="0.25">
      <c r="A228" s="2" t="s">
        <v>414</v>
      </c>
      <c r="B228" s="2" t="s">
        <v>380</v>
      </c>
      <c r="C228" s="2" t="s">
        <v>422</v>
      </c>
      <c r="D228" s="3">
        <v>45</v>
      </c>
      <c r="E228" s="3">
        <v>6.92</v>
      </c>
      <c r="F228" s="2">
        <v>311.39999999999998</v>
      </c>
      <c r="G228" s="2"/>
      <c r="H228" s="2">
        <v>2.93</v>
      </c>
      <c r="I228" s="2">
        <v>4.96</v>
      </c>
      <c r="J228" s="2" t="s">
        <v>310</v>
      </c>
      <c r="K228" s="2"/>
      <c r="L228" s="2"/>
      <c r="M228" s="2"/>
      <c r="N228" s="2">
        <v>76</v>
      </c>
      <c r="O228" s="4">
        <v>39848.410000000003</v>
      </c>
      <c r="P228" s="5">
        <f t="shared" si="6"/>
        <v>0.52432118421052631</v>
      </c>
      <c r="Q228" s="4">
        <f t="shared" si="7"/>
        <v>127.96535003211307</v>
      </c>
    </row>
    <row r="229" spans="1:17" x14ac:dyDescent="0.25">
      <c r="A229" s="2" t="s">
        <v>414</v>
      </c>
      <c r="B229" s="2" t="s">
        <v>380</v>
      </c>
      <c r="C229" s="2" t="s">
        <v>422</v>
      </c>
      <c r="D229" s="3">
        <v>52.5</v>
      </c>
      <c r="E229" s="3">
        <v>6.92</v>
      </c>
      <c r="F229" s="2">
        <v>363.3</v>
      </c>
      <c r="G229" s="2"/>
      <c r="H229" s="2">
        <v>2.93</v>
      </c>
      <c r="I229" s="2">
        <v>4.96</v>
      </c>
      <c r="J229" s="2" t="s">
        <v>311</v>
      </c>
      <c r="K229" s="2"/>
      <c r="L229" s="2"/>
      <c r="M229" s="2"/>
      <c r="N229" s="2">
        <v>89</v>
      </c>
      <c r="O229" s="4">
        <v>44913.36</v>
      </c>
      <c r="P229" s="5">
        <f t="shared" si="6"/>
        <v>0.50464449438202252</v>
      </c>
      <c r="Q229" s="4">
        <f t="shared" si="7"/>
        <v>123.62609413707679</v>
      </c>
    </row>
    <row r="230" spans="1:17" x14ac:dyDescent="0.25">
      <c r="A230" s="2" t="s">
        <v>414</v>
      </c>
      <c r="B230" s="2" t="s">
        <v>380</v>
      </c>
      <c r="C230" s="2" t="s">
        <v>422</v>
      </c>
      <c r="D230" s="3">
        <v>60</v>
      </c>
      <c r="E230" s="3">
        <v>6.92</v>
      </c>
      <c r="F230" s="2">
        <v>415.2</v>
      </c>
      <c r="G230" s="2"/>
      <c r="H230" s="2">
        <v>2.93</v>
      </c>
      <c r="I230" s="2">
        <v>4.96</v>
      </c>
      <c r="J230" s="2" t="s">
        <v>312</v>
      </c>
      <c r="K230" s="2"/>
      <c r="L230" s="2"/>
      <c r="M230" s="2"/>
      <c r="N230" s="2">
        <v>102</v>
      </c>
      <c r="O230" s="4">
        <v>50163.66</v>
      </c>
      <c r="P230" s="5">
        <f t="shared" si="6"/>
        <v>0.49180058823529416</v>
      </c>
      <c r="Q230" s="4">
        <f t="shared" si="7"/>
        <v>120.81806358381505</v>
      </c>
    </row>
    <row r="231" spans="1:17" x14ac:dyDescent="0.25">
      <c r="A231" s="2" t="s">
        <v>414</v>
      </c>
      <c r="B231" s="2" t="s">
        <v>380</v>
      </c>
      <c r="C231" s="2" t="s">
        <v>422</v>
      </c>
      <c r="D231" s="3">
        <v>67.5</v>
      </c>
      <c r="E231" s="3">
        <v>6.92</v>
      </c>
      <c r="F231" s="2">
        <v>467.1</v>
      </c>
      <c r="G231" s="2"/>
      <c r="H231" s="2">
        <v>2.93</v>
      </c>
      <c r="I231" s="2">
        <v>4.96</v>
      </c>
      <c r="J231" s="2" t="s">
        <v>313</v>
      </c>
      <c r="K231" s="2"/>
      <c r="L231" s="2"/>
      <c r="M231" s="2"/>
      <c r="N231" s="2">
        <v>113</v>
      </c>
      <c r="O231" s="4">
        <v>55413.97</v>
      </c>
      <c r="P231" s="5">
        <f t="shared" si="6"/>
        <v>0.49038911504424781</v>
      </c>
      <c r="Q231" s="4">
        <f t="shared" si="7"/>
        <v>118.63406122885891</v>
      </c>
    </row>
    <row r="232" spans="1:17" x14ac:dyDescent="0.25">
      <c r="A232" s="2" t="s">
        <v>414</v>
      </c>
      <c r="B232" s="2" t="s">
        <v>380</v>
      </c>
      <c r="C232" s="2" t="s">
        <v>422</v>
      </c>
      <c r="D232" s="3">
        <v>75</v>
      </c>
      <c r="E232" s="3">
        <v>6.92</v>
      </c>
      <c r="F232" s="2">
        <v>519</v>
      </c>
      <c r="G232" s="2"/>
      <c r="H232" s="2">
        <v>2.93</v>
      </c>
      <c r="I232" s="2">
        <v>4.96</v>
      </c>
      <c r="J232" s="2" t="s">
        <v>314</v>
      </c>
      <c r="K232" s="2"/>
      <c r="L232" s="2"/>
      <c r="M232" s="2"/>
      <c r="N232" s="2">
        <v>126</v>
      </c>
      <c r="O232" s="4">
        <v>60478.92</v>
      </c>
      <c r="P232" s="5">
        <f t="shared" si="6"/>
        <v>0.47999142857142857</v>
      </c>
      <c r="Q232" s="4">
        <f t="shared" si="7"/>
        <v>116.52971098265895</v>
      </c>
    </row>
    <row r="233" spans="1:17" x14ac:dyDescent="0.25">
      <c r="A233" s="2" t="s">
        <v>415</v>
      </c>
      <c r="B233" s="2" t="s">
        <v>381</v>
      </c>
      <c r="C233" s="2" t="s">
        <v>423</v>
      </c>
      <c r="D233" s="3">
        <v>30</v>
      </c>
      <c r="E233" s="3">
        <v>6.92</v>
      </c>
      <c r="F233" s="2">
        <v>207.6</v>
      </c>
      <c r="G233" s="2"/>
      <c r="H233" s="2">
        <v>2.93</v>
      </c>
      <c r="I233" s="2">
        <v>4.96</v>
      </c>
      <c r="J233" s="2" t="s">
        <v>308</v>
      </c>
      <c r="K233" s="2"/>
      <c r="L233" s="2"/>
      <c r="M233" s="2"/>
      <c r="N233" s="2">
        <v>52</v>
      </c>
      <c r="O233" s="4">
        <v>27247.8</v>
      </c>
      <c r="P233" s="5">
        <f t="shared" si="6"/>
        <v>0.52399615384615383</v>
      </c>
      <c r="Q233" s="4">
        <f t="shared" si="7"/>
        <v>131.25144508670519</v>
      </c>
    </row>
    <row r="234" spans="1:17" x14ac:dyDescent="0.25">
      <c r="A234" s="2" t="s">
        <v>415</v>
      </c>
      <c r="B234" s="2" t="s">
        <v>381</v>
      </c>
      <c r="C234" s="2" t="s">
        <v>423</v>
      </c>
      <c r="D234" s="3">
        <v>37.5</v>
      </c>
      <c r="E234" s="3">
        <v>6.92</v>
      </c>
      <c r="F234" s="2">
        <v>259.5</v>
      </c>
      <c r="G234" s="2"/>
      <c r="H234" s="2">
        <v>2.93</v>
      </c>
      <c r="I234" s="2">
        <v>4.96</v>
      </c>
      <c r="J234" s="2" t="s">
        <v>309</v>
      </c>
      <c r="K234" s="2"/>
      <c r="L234" s="2"/>
      <c r="M234" s="2"/>
      <c r="N234" s="2">
        <v>65</v>
      </c>
      <c r="O234" s="4">
        <v>32078.1</v>
      </c>
      <c r="P234" s="5">
        <f t="shared" si="6"/>
        <v>0.49350923076923076</v>
      </c>
      <c r="Q234" s="4">
        <f t="shared" si="7"/>
        <v>123.61502890173409</v>
      </c>
    </row>
    <row r="235" spans="1:17" x14ac:dyDescent="0.25">
      <c r="A235" s="2" t="s">
        <v>415</v>
      </c>
      <c r="B235" s="2" t="s">
        <v>381</v>
      </c>
      <c r="C235" s="2" t="s">
        <v>423</v>
      </c>
      <c r="D235" s="3">
        <v>45</v>
      </c>
      <c r="E235" s="3">
        <v>6.92</v>
      </c>
      <c r="F235" s="2">
        <v>311.39999999999998</v>
      </c>
      <c r="G235" s="2"/>
      <c r="H235" s="2">
        <v>2.93</v>
      </c>
      <c r="I235" s="2">
        <v>4.96</v>
      </c>
      <c r="J235" s="2" t="s">
        <v>310</v>
      </c>
      <c r="K235" s="2"/>
      <c r="L235" s="2"/>
      <c r="M235" s="2"/>
      <c r="N235" s="2">
        <v>76</v>
      </c>
      <c r="O235" s="4">
        <v>36908.410000000003</v>
      </c>
      <c r="P235" s="5">
        <f t="shared" si="6"/>
        <v>0.48563697368421055</v>
      </c>
      <c r="Q235" s="4">
        <f t="shared" si="7"/>
        <v>118.52411689145795</v>
      </c>
    </row>
    <row r="236" spans="1:17" x14ac:dyDescent="0.25">
      <c r="A236" s="2" t="s">
        <v>415</v>
      </c>
      <c r="B236" s="2" t="s">
        <v>381</v>
      </c>
      <c r="C236" s="2" t="s">
        <v>423</v>
      </c>
      <c r="D236" s="3">
        <v>52.5</v>
      </c>
      <c r="E236" s="3">
        <v>6.92</v>
      </c>
      <c r="F236" s="2">
        <v>363.3</v>
      </c>
      <c r="G236" s="2"/>
      <c r="H236" s="2">
        <v>2.93</v>
      </c>
      <c r="I236" s="2">
        <v>4.96</v>
      </c>
      <c r="J236" s="2" t="s">
        <v>311</v>
      </c>
      <c r="K236" s="2"/>
      <c r="L236" s="2"/>
      <c r="M236" s="2"/>
      <c r="N236" s="2">
        <v>89</v>
      </c>
      <c r="O236" s="4">
        <v>41553.360000000001</v>
      </c>
      <c r="P236" s="5">
        <f t="shared" si="6"/>
        <v>0.46689168539325843</v>
      </c>
      <c r="Q236" s="4">
        <f t="shared" si="7"/>
        <v>114.37753922378199</v>
      </c>
    </row>
    <row r="237" spans="1:17" x14ac:dyDescent="0.25">
      <c r="A237" s="2" t="s">
        <v>415</v>
      </c>
      <c r="B237" s="2" t="s">
        <v>381</v>
      </c>
      <c r="C237" s="2" t="s">
        <v>423</v>
      </c>
      <c r="D237" s="3">
        <v>60</v>
      </c>
      <c r="E237" s="3">
        <v>6.92</v>
      </c>
      <c r="F237" s="2">
        <v>415.2</v>
      </c>
      <c r="G237" s="2"/>
      <c r="H237" s="2">
        <v>2.93</v>
      </c>
      <c r="I237" s="2">
        <v>4.96</v>
      </c>
      <c r="J237" s="2" t="s">
        <v>312</v>
      </c>
      <c r="K237" s="2"/>
      <c r="L237" s="2"/>
      <c r="M237" s="2"/>
      <c r="N237" s="2">
        <v>102</v>
      </c>
      <c r="O237" s="4">
        <v>46383.66</v>
      </c>
      <c r="P237" s="5">
        <f t="shared" si="6"/>
        <v>0.4547417647058824</v>
      </c>
      <c r="Q237" s="4">
        <f t="shared" si="7"/>
        <v>111.71401734104047</v>
      </c>
    </row>
    <row r="238" spans="1:17" x14ac:dyDescent="0.25">
      <c r="A238" s="2" t="s">
        <v>415</v>
      </c>
      <c r="B238" s="2" t="s">
        <v>381</v>
      </c>
      <c r="C238" s="2" t="s">
        <v>423</v>
      </c>
      <c r="D238" s="3">
        <v>67.5</v>
      </c>
      <c r="E238" s="3">
        <v>6.92</v>
      </c>
      <c r="F238" s="2">
        <v>467.1</v>
      </c>
      <c r="G238" s="2"/>
      <c r="H238" s="2">
        <v>2.93</v>
      </c>
      <c r="I238" s="2">
        <v>4.96</v>
      </c>
      <c r="J238" s="2" t="s">
        <v>313</v>
      </c>
      <c r="K238" s="2"/>
      <c r="L238" s="2"/>
      <c r="M238" s="2"/>
      <c r="N238" s="2">
        <v>113</v>
      </c>
      <c r="O238" s="4">
        <v>51231.97</v>
      </c>
      <c r="P238" s="5">
        <f t="shared" si="6"/>
        <v>0.45338026548672566</v>
      </c>
      <c r="Q238" s="4">
        <f t="shared" si="7"/>
        <v>109.68094626418326</v>
      </c>
    </row>
    <row r="239" spans="1:17" x14ac:dyDescent="0.25">
      <c r="A239" s="2" t="s">
        <v>415</v>
      </c>
      <c r="B239" s="2" t="s">
        <v>381</v>
      </c>
      <c r="C239" s="2" t="s">
        <v>423</v>
      </c>
      <c r="D239" s="3">
        <v>75</v>
      </c>
      <c r="E239" s="3">
        <v>6.92</v>
      </c>
      <c r="F239" s="2">
        <v>519</v>
      </c>
      <c r="G239" s="2"/>
      <c r="H239" s="2">
        <v>2.93</v>
      </c>
      <c r="I239" s="2">
        <v>4.96</v>
      </c>
      <c r="J239" s="2" t="s">
        <v>314</v>
      </c>
      <c r="K239" s="2"/>
      <c r="L239" s="2"/>
      <c r="M239" s="2"/>
      <c r="N239" s="2">
        <v>126</v>
      </c>
      <c r="O239" s="4">
        <v>55858.92</v>
      </c>
      <c r="P239" s="5">
        <f t="shared" si="6"/>
        <v>0.44332476190476189</v>
      </c>
      <c r="Q239" s="4">
        <f t="shared" si="7"/>
        <v>107.62797687861271</v>
      </c>
    </row>
    <row r="240" spans="1:17" x14ac:dyDescent="0.25">
      <c r="A240" s="2" t="s">
        <v>416</v>
      </c>
      <c r="B240" s="2" t="s">
        <v>46</v>
      </c>
      <c r="C240" s="2" t="s">
        <v>46</v>
      </c>
      <c r="D240" s="3">
        <v>30</v>
      </c>
      <c r="E240" s="3">
        <v>9.14</v>
      </c>
      <c r="F240" s="2">
        <v>274.20000000000005</v>
      </c>
      <c r="G240" s="2"/>
      <c r="H240" s="2">
        <v>3</v>
      </c>
      <c r="I240" s="2">
        <v>4.6100000000000003</v>
      </c>
      <c r="J240" s="2" t="s">
        <v>308</v>
      </c>
      <c r="K240" s="2"/>
      <c r="L240" s="2"/>
      <c r="M240" s="2"/>
      <c r="N240" s="2">
        <v>66</v>
      </c>
      <c r="O240" s="4">
        <v>29049.360000000001</v>
      </c>
      <c r="P240" s="5">
        <f t="shared" si="6"/>
        <v>0.44014181818181819</v>
      </c>
      <c r="Q240" s="4">
        <f t="shared" si="7"/>
        <v>105.94223194748358</v>
      </c>
    </row>
    <row r="241" spans="1:17" x14ac:dyDescent="0.25">
      <c r="A241" s="2" t="s">
        <v>416</v>
      </c>
      <c r="B241" s="2" t="s">
        <v>46</v>
      </c>
      <c r="C241" s="2" t="s">
        <v>46</v>
      </c>
      <c r="D241" s="3">
        <v>37.5</v>
      </c>
      <c r="E241" s="3">
        <v>9.14</v>
      </c>
      <c r="F241" s="2">
        <v>342.75</v>
      </c>
      <c r="G241" s="2"/>
      <c r="H241" s="2">
        <v>3</v>
      </c>
      <c r="I241" s="2">
        <v>4.6100000000000003</v>
      </c>
      <c r="J241" s="2" t="s">
        <v>309</v>
      </c>
      <c r="K241" s="2"/>
      <c r="L241" s="2"/>
      <c r="M241" s="2"/>
      <c r="N241" s="2">
        <v>81</v>
      </c>
      <c r="O241" s="4">
        <v>34146.58</v>
      </c>
      <c r="P241" s="5">
        <f t="shared" si="6"/>
        <v>0.42156271604938272</v>
      </c>
      <c r="Q241" s="4">
        <f t="shared" si="7"/>
        <v>99.625324580598104</v>
      </c>
    </row>
    <row r="242" spans="1:17" x14ac:dyDescent="0.25">
      <c r="A242" s="2" t="s">
        <v>416</v>
      </c>
      <c r="B242" s="2" t="s">
        <v>46</v>
      </c>
      <c r="C242" s="2" t="s">
        <v>46</v>
      </c>
      <c r="D242" s="3">
        <v>45</v>
      </c>
      <c r="E242" s="3">
        <v>9.14</v>
      </c>
      <c r="F242" s="2">
        <v>411.3</v>
      </c>
      <c r="G242" s="2"/>
      <c r="H242" s="2">
        <v>3</v>
      </c>
      <c r="I242" s="2">
        <v>4.6100000000000003</v>
      </c>
      <c r="J242" s="2" t="s">
        <v>310</v>
      </c>
      <c r="K242" s="2"/>
      <c r="L242" s="2"/>
      <c r="M242" s="2"/>
      <c r="N242" s="2">
        <v>100</v>
      </c>
      <c r="O242" s="4">
        <v>39243.800000000003</v>
      </c>
      <c r="P242" s="5">
        <f t="shared" si="6"/>
        <v>0.39243800000000001</v>
      </c>
      <c r="Q242" s="4">
        <f t="shared" si="7"/>
        <v>95.41405300267445</v>
      </c>
    </row>
    <row r="243" spans="1:17" x14ac:dyDescent="0.25">
      <c r="A243" s="2" t="s">
        <v>416</v>
      </c>
      <c r="B243" s="2" t="s">
        <v>46</v>
      </c>
      <c r="C243" s="2" t="s">
        <v>46</v>
      </c>
      <c r="D243" s="3">
        <v>52.5</v>
      </c>
      <c r="E243" s="3">
        <v>9.14</v>
      </c>
      <c r="F243" s="2">
        <v>479.85</v>
      </c>
      <c r="G243" s="2"/>
      <c r="H243" s="2">
        <v>3</v>
      </c>
      <c r="I243" s="2">
        <v>4.6100000000000003</v>
      </c>
      <c r="J243" s="2" t="s">
        <v>311</v>
      </c>
      <c r="K243" s="2"/>
      <c r="L243" s="2"/>
      <c r="M243" s="2"/>
      <c r="N243" s="2">
        <v>115</v>
      </c>
      <c r="O243" s="4">
        <v>44341.01</v>
      </c>
      <c r="P243" s="5">
        <f t="shared" si="6"/>
        <v>0.38557400000000003</v>
      </c>
      <c r="Q243" s="4">
        <f t="shared" si="7"/>
        <v>92.405981035740339</v>
      </c>
    </row>
    <row r="244" spans="1:17" x14ac:dyDescent="0.25">
      <c r="A244" s="2" t="s">
        <v>416</v>
      </c>
      <c r="B244" s="2" t="s">
        <v>46</v>
      </c>
      <c r="C244" s="2" t="s">
        <v>46</v>
      </c>
      <c r="D244" s="3">
        <v>60</v>
      </c>
      <c r="E244" s="3">
        <v>9.14</v>
      </c>
      <c r="F244" s="2">
        <v>548.40000000000009</v>
      </c>
      <c r="G244" s="2"/>
      <c r="H244" s="2">
        <v>3</v>
      </c>
      <c r="I244" s="2">
        <v>4.6100000000000003</v>
      </c>
      <c r="J244" s="2" t="s">
        <v>312</v>
      </c>
      <c r="K244" s="2"/>
      <c r="L244" s="2"/>
      <c r="M244" s="2"/>
      <c r="N244" s="2">
        <v>130</v>
      </c>
      <c r="O244" s="4">
        <v>49438.23</v>
      </c>
      <c r="P244" s="5">
        <f t="shared" si="6"/>
        <v>0.38029407692307693</v>
      </c>
      <c r="Q244" s="4">
        <f t="shared" si="7"/>
        <v>90.149945295404805</v>
      </c>
    </row>
    <row r="245" spans="1:17" x14ac:dyDescent="0.25">
      <c r="A245" s="2" t="s">
        <v>416</v>
      </c>
      <c r="B245" s="2" t="s">
        <v>46</v>
      </c>
      <c r="C245" s="2" t="s">
        <v>46</v>
      </c>
      <c r="D245" s="3">
        <v>67.5</v>
      </c>
      <c r="E245" s="3">
        <v>9.14</v>
      </c>
      <c r="F245" s="2">
        <v>616.95000000000005</v>
      </c>
      <c r="G245" s="2"/>
      <c r="H245" s="2">
        <v>3</v>
      </c>
      <c r="I245" s="2">
        <v>4.6100000000000003</v>
      </c>
      <c r="J245" s="2" t="s">
        <v>313</v>
      </c>
      <c r="K245" s="2"/>
      <c r="L245" s="2"/>
      <c r="M245" s="2"/>
      <c r="N245" s="2">
        <v>145</v>
      </c>
      <c r="O245" s="4">
        <v>54535.45</v>
      </c>
      <c r="P245" s="5">
        <f t="shared" si="6"/>
        <v>0.37610655172413793</v>
      </c>
      <c r="Q245" s="4">
        <f t="shared" si="7"/>
        <v>88.395250830699396</v>
      </c>
    </row>
    <row r="246" spans="1:17" x14ac:dyDescent="0.25">
      <c r="A246" s="2" t="s">
        <v>416</v>
      </c>
      <c r="B246" s="2" t="s">
        <v>46</v>
      </c>
      <c r="C246" s="2" t="s">
        <v>46</v>
      </c>
      <c r="D246" s="3">
        <v>75</v>
      </c>
      <c r="E246" s="3">
        <v>9.14</v>
      </c>
      <c r="F246" s="2">
        <v>685.5</v>
      </c>
      <c r="G246" s="2"/>
      <c r="H246" s="2">
        <v>3</v>
      </c>
      <c r="I246" s="2">
        <v>4.6100000000000003</v>
      </c>
      <c r="J246" s="2" t="s">
        <v>314</v>
      </c>
      <c r="K246" s="2"/>
      <c r="L246" s="2"/>
      <c r="M246" s="2"/>
      <c r="N246" s="2">
        <v>163</v>
      </c>
      <c r="O246" s="4">
        <v>59632.66</v>
      </c>
      <c r="P246" s="5">
        <f t="shared" si="6"/>
        <v>0.36584453987730065</v>
      </c>
      <c r="Q246" s="4">
        <f t="shared" si="7"/>
        <v>86.991480671043035</v>
      </c>
    </row>
    <row r="247" spans="1:17" x14ac:dyDescent="0.25">
      <c r="A247" s="2" t="s">
        <v>417</v>
      </c>
      <c r="B247" s="2" t="s">
        <v>47</v>
      </c>
      <c r="C247" s="2" t="s">
        <v>47</v>
      </c>
      <c r="D247" s="3">
        <v>30</v>
      </c>
      <c r="E247" s="3">
        <v>11.35</v>
      </c>
      <c r="F247" s="2">
        <v>340.5</v>
      </c>
      <c r="G247" s="2"/>
      <c r="H247" s="2">
        <v>2.8</v>
      </c>
      <c r="I247" s="2">
        <v>4.74</v>
      </c>
      <c r="J247" s="2" t="s">
        <v>308</v>
      </c>
      <c r="K247" s="2"/>
      <c r="L247" s="2"/>
      <c r="M247" s="2"/>
      <c r="N247" s="2">
        <v>91</v>
      </c>
      <c r="O247" s="4">
        <v>32115.37</v>
      </c>
      <c r="P247" s="5">
        <f t="shared" si="6"/>
        <v>0.35291615384615382</v>
      </c>
      <c r="Q247" s="4">
        <f t="shared" si="7"/>
        <v>94.318267254038176</v>
      </c>
    </row>
    <row r="248" spans="1:17" x14ac:dyDescent="0.25">
      <c r="A248" s="2" t="s">
        <v>417</v>
      </c>
      <c r="B248" s="2" t="s">
        <v>47</v>
      </c>
      <c r="C248" s="2" t="s">
        <v>47</v>
      </c>
      <c r="D248" s="3">
        <v>37.5</v>
      </c>
      <c r="E248" s="3">
        <v>11.35</v>
      </c>
      <c r="F248" s="2">
        <v>425.625</v>
      </c>
      <c r="G248" s="2"/>
      <c r="H248" s="2">
        <v>2.8</v>
      </c>
      <c r="I248" s="2">
        <v>4.74</v>
      </c>
      <c r="J248" s="2" t="s">
        <v>309</v>
      </c>
      <c r="K248" s="2"/>
      <c r="L248" s="2"/>
      <c r="M248" s="2"/>
      <c r="N248" s="2">
        <v>113</v>
      </c>
      <c r="O248" s="4">
        <v>38043.24</v>
      </c>
      <c r="P248" s="5">
        <f t="shared" si="6"/>
        <v>0.33666584070796457</v>
      </c>
      <c r="Q248" s="4">
        <f t="shared" si="7"/>
        <v>89.38206167400881</v>
      </c>
    </row>
    <row r="249" spans="1:17" x14ac:dyDescent="0.25">
      <c r="A249" s="2" t="s">
        <v>417</v>
      </c>
      <c r="B249" s="2" t="s">
        <v>47</v>
      </c>
      <c r="C249" s="2" t="s">
        <v>47</v>
      </c>
      <c r="D249" s="3">
        <v>45</v>
      </c>
      <c r="E249" s="3">
        <v>11.35</v>
      </c>
      <c r="F249" s="2">
        <v>510.75</v>
      </c>
      <c r="G249" s="2"/>
      <c r="H249" s="2">
        <v>2.8</v>
      </c>
      <c r="I249" s="2">
        <v>4.74</v>
      </c>
      <c r="J249" s="2" t="s">
        <v>310</v>
      </c>
      <c r="K249" s="2"/>
      <c r="L249" s="2"/>
      <c r="M249" s="2"/>
      <c r="N249" s="2">
        <v>133</v>
      </c>
      <c r="O249" s="4">
        <v>43785.75</v>
      </c>
      <c r="P249" s="5">
        <f t="shared" si="6"/>
        <v>0.32921616541353382</v>
      </c>
      <c r="Q249" s="4">
        <f t="shared" si="7"/>
        <v>85.728340675477241</v>
      </c>
    </row>
    <row r="250" spans="1:17" x14ac:dyDescent="0.25">
      <c r="A250" s="2" t="s">
        <v>417</v>
      </c>
      <c r="B250" s="2" t="s">
        <v>47</v>
      </c>
      <c r="C250" s="2" t="s">
        <v>47</v>
      </c>
      <c r="D250" s="3">
        <v>52.5</v>
      </c>
      <c r="E250" s="3">
        <v>11.35</v>
      </c>
      <c r="F250" s="2">
        <v>595.875</v>
      </c>
      <c r="G250" s="2"/>
      <c r="H250" s="2">
        <v>2.8</v>
      </c>
      <c r="I250" s="2">
        <v>4.74</v>
      </c>
      <c r="J250" s="2" t="s">
        <v>311</v>
      </c>
      <c r="K250" s="2"/>
      <c r="L250" s="2"/>
      <c r="M250" s="2"/>
      <c r="N250" s="2">
        <v>156</v>
      </c>
      <c r="O250" s="4">
        <v>49528.25</v>
      </c>
      <c r="P250" s="5">
        <f t="shared" si="6"/>
        <v>0.31748878205128206</v>
      </c>
      <c r="Q250" s="4">
        <f t="shared" si="7"/>
        <v>83.118523180197187</v>
      </c>
    </row>
    <row r="251" spans="1:17" x14ac:dyDescent="0.25">
      <c r="A251" s="2" t="s">
        <v>417</v>
      </c>
      <c r="B251" s="2" t="s">
        <v>47</v>
      </c>
      <c r="C251" s="2" t="s">
        <v>47</v>
      </c>
      <c r="D251" s="3">
        <v>60</v>
      </c>
      <c r="E251" s="3">
        <v>11.35</v>
      </c>
      <c r="F251" s="2">
        <v>681</v>
      </c>
      <c r="G251" s="2"/>
      <c r="H251" s="2">
        <v>2.8</v>
      </c>
      <c r="I251" s="2">
        <v>4.74</v>
      </c>
      <c r="J251" s="2" t="s">
        <v>312</v>
      </c>
      <c r="K251" s="2"/>
      <c r="L251" s="2"/>
      <c r="M251" s="2"/>
      <c r="N251" s="2">
        <v>179</v>
      </c>
      <c r="O251" s="4">
        <v>55270.76</v>
      </c>
      <c r="P251" s="5">
        <f t="shared" si="6"/>
        <v>0.30877519553072624</v>
      </c>
      <c r="Q251" s="4">
        <f t="shared" si="7"/>
        <v>81.161174743024972</v>
      </c>
    </row>
    <row r="252" spans="1:17" x14ac:dyDescent="0.25">
      <c r="A252" s="2" t="s">
        <v>417</v>
      </c>
      <c r="B252" s="2" t="s">
        <v>47</v>
      </c>
      <c r="C252" s="2" t="s">
        <v>47</v>
      </c>
      <c r="D252" s="3">
        <v>67.5</v>
      </c>
      <c r="E252" s="3">
        <v>11.35</v>
      </c>
      <c r="F252" s="2">
        <v>766.125</v>
      </c>
      <c r="G252" s="2"/>
      <c r="H252" s="2">
        <v>2.8</v>
      </c>
      <c r="I252" s="2">
        <v>4.74</v>
      </c>
      <c r="J252" s="2" t="s">
        <v>313</v>
      </c>
      <c r="K252" s="2"/>
      <c r="L252" s="2"/>
      <c r="M252" s="2"/>
      <c r="N252" s="2">
        <v>198</v>
      </c>
      <c r="O252" s="4">
        <v>61198.63</v>
      </c>
      <c r="P252" s="5">
        <f t="shared" si="6"/>
        <v>0.30908398989898989</v>
      </c>
      <c r="Q252" s="4">
        <f t="shared" si="7"/>
        <v>79.880737477565674</v>
      </c>
    </row>
    <row r="253" spans="1:17" x14ac:dyDescent="0.25">
      <c r="A253" s="2" t="s">
        <v>417</v>
      </c>
      <c r="B253" s="2" t="s">
        <v>47</v>
      </c>
      <c r="C253" s="2" t="s">
        <v>47</v>
      </c>
      <c r="D253" s="3">
        <v>75</v>
      </c>
      <c r="E253" s="3">
        <v>11.35</v>
      </c>
      <c r="F253" s="2">
        <v>851.25</v>
      </c>
      <c r="G253" s="2"/>
      <c r="H253" s="2">
        <v>2.8</v>
      </c>
      <c r="I253" s="2">
        <v>4.74</v>
      </c>
      <c r="J253" s="2" t="s">
        <v>314</v>
      </c>
      <c r="K253" s="2"/>
      <c r="L253" s="2"/>
      <c r="M253" s="2"/>
      <c r="N253" s="2">
        <v>221</v>
      </c>
      <c r="O253" s="4">
        <v>66941.13</v>
      </c>
      <c r="P253" s="5">
        <f t="shared" si="6"/>
        <v>0.30290104072398194</v>
      </c>
      <c r="Q253" s="4">
        <f t="shared" si="7"/>
        <v>78.638625550660805</v>
      </c>
    </row>
    <row r="254" spans="1:17" x14ac:dyDescent="0.25">
      <c r="A254" s="2" t="s">
        <v>418</v>
      </c>
      <c r="B254" s="2" t="s">
        <v>49</v>
      </c>
      <c r="C254" s="2" t="s">
        <v>49</v>
      </c>
      <c r="D254" s="3">
        <v>30</v>
      </c>
      <c r="E254" s="3">
        <v>15.8</v>
      </c>
      <c r="F254" s="2">
        <v>474</v>
      </c>
      <c r="G254" s="2"/>
      <c r="H254" s="2">
        <v>5.0999999999999996</v>
      </c>
      <c r="I254" s="2">
        <v>7.86</v>
      </c>
      <c r="J254" s="2" t="s">
        <v>308</v>
      </c>
      <c r="K254" s="2"/>
      <c r="L254" s="2"/>
      <c r="M254" s="2"/>
      <c r="N254" s="2">
        <v>117</v>
      </c>
      <c r="O254" s="4">
        <v>44198.81</v>
      </c>
      <c r="P254" s="5">
        <f t="shared" si="6"/>
        <v>0.3777676068376068</v>
      </c>
      <c r="Q254" s="4">
        <f t="shared" si="7"/>
        <v>93.246434599156117</v>
      </c>
    </row>
    <row r="255" spans="1:17" x14ac:dyDescent="0.25">
      <c r="A255" s="2" t="s">
        <v>418</v>
      </c>
      <c r="B255" s="2" t="s">
        <v>49</v>
      </c>
      <c r="C255" s="2" t="s">
        <v>49</v>
      </c>
      <c r="D255" s="3">
        <v>37.5</v>
      </c>
      <c r="E255" s="3">
        <v>15.8</v>
      </c>
      <c r="F255" s="2">
        <v>592.5</v>
      </c>
      <c r="G255" s="2"/>
      <c r="H255" s="2">
        <v>5.0999999999999996</v>
      </c>
      <c r="I255" s="2">
        <v>7.86</v>
      </c>
      <c r="J255" s="2" t="s">
        <v>309</v>
      </c>
      <c r="K255" s="2"/>
      <c r="L255" s="2"/>
      <c r="M255" s="2"/>
      <c r="N255" s="2">
        <v>146</v>
      </c>
      <c r="O255" s="4">
        <v>52658.01</v>
      </c>
      <c r="P255" s="5">
        <f t="shared" si="6"/>
        <v>0.36067130136986303</v>
      </c>
      <c r="Q255" s="4">
        <f t="shared" si="7"/>
        <v>88.874278481012666</v>
      </c>
    </row>
    <row r="256" spans="1:17" x14ac:dyDescent="0.25">
      <c r="A256" s="2" t="s">
        <v>418</v>
      </c>
      <c r="B256" s="2" t="s">
        <v>49</v>
      </c>
      <c r="C256" s="2" t="s">
        <v>49</v>
      </c>
      <c r="D256" s="3">
        <v>45</v>
      </c>
      <c r="E256" s="3">
        <v>15.8</v>
      </c>
      <c r="F256" s="2">
        <v>711</v>
      </c>
      <c r="G256" s="2"/>
      <c r="H256" s="2">
        <v>5.0999999999999996</v>
      </c>
      <c r="I256" s="2">
        <v>7.86</v>
      </c>
      <c r="J256" s="2" t="s">
        <v>310</v>
      </c>
      <c r="K256" s="2"/>
      <c r="L256" s="2"/>
      <c r="M256" s="2"/>
      <c r="N256" s="2">
        <v>175</v>
      </c>
      <c r="O256" s="4">
        <v>61302.57</v>
      </c>
      <c r="P256" s="5">
        <f t="shared" si="6"/>
        <v>0.35030040000000001</v>
      </c>
      <c r="Q256" s="4">
        <f t="shared" si="7"/>
        <v>86.220210970464137</v>
      </c>
    </row>
    <row r="257" spans="1:17" x14ac:dyDescent="0.25">
      <c r="A257" s="2" t="s">
        <v>418</v>
      </c>
      <c r="B257" s="2" t="s">
        <v>49</v>
      </c>
      <c r="C257" s="2" t="s">
        <v>49</v>
      </c>
      <c r="D257" s="3">
        <v>52.5</v>
      </c>
      <c r="E257" s="3">
        <v>15.8</v>
      </c>
      <c r="F257" s="2">
        <v>829.5</v>
      </c>
      <c r="G257" s="2"/>
      <c r="H257" s="2">
        <v>5.0999999999999996</v>
      </c>
      <c r="I257" s="2">
        <v>7.86</v>
      </c>
      <c r="J257" s="2" t="s">
        <v>311</v>
      </c>
      <c r="K257" s="2"/>
      <c r="L257" s="2"/>
      <c r="M257" s="2"/>
      <c r="N257" s="2">
        <v>201</v>
      </c>
      <c r="O257" s="4">
        <v>69761.77</v>
      </c>
      <c r="P257" s="5">
        <f t="shared" si="6"/>
        <v>0.34707348258706472</v>
      </c>
      <c r="Q257" s="4">
        <f t="shared" si="7"/>
        <v>84.100988547317669</v>
      </c>
    </row>
    <row r="258" spans="1:17" x14ac:dyDescent="0.25">
      <c r="A258" s="2" t="s">
        <v>418</v>
      </c>
      <c r="B258" s="2" t="s">
        <v>49</v>
      </c>
      <c r="C258" s="2" t="s">
        <v>49</v>
      </c>
      <c r="D258" s="3">
        <v>60</v>
      </c>
      <c r="E258" s="3">
        <v>15.8</v>
      </c>
      <c r="F258" s="2">
        <v>948</v>
      </c>
      <c r="G258" s="2"/>
      <c r="H258" s="2">
        <v>5.0999999999999996</v>
      </c>
      <c r="I258" s="2">
        <v>7.86</v>
      </c>
      <c r="J258" s="2" t="s">
        <v>312</v>
      </c>
      <c r="K258" s="2"/>
      <c r="L258" s="2"/>
      <c r="M258" s="2"/>
      <c r="N258" s="2">
        <v>230</v>
      </c>
      <c r="O258" s="4">
        <v>78406.33</v>
      </c>
      <c r="P258" s="5">
        <f t="shared" si="6"/>
        <v>0.34089708695652177</v>
      </c>
      <c r="Q258" s="4">
        <f t="shared" si="7"/>
        <v>82.707099156118147</v>
      </c>
    </row>
    <row r="259" spans="1:17" x14ac:dyDescent="0.25">
      <c r="A259" s="2" t="s">
        <v>418</v>
      </c>
      <c r="B259" s="2" t="s">
        <v>49</v>
      </c>
      <c r="C259" s="2" t="s">
        <v>49</v>
      </c>
      <c r="D259" s="3">
        <v>67.5</v>
      </c>
      <c r="E259" s="3">
        <v>15.8</v>
      </c>
      <c r="F259" s="2">
        <v>1066.5</v>
      </c>
      <c r="G259" s="2"/>
      <c r="H259" s="2">
        <v>5.0999999999999996</v>
      </c>
      <c r="I259" s="2">
        <v>7.86</v>
      </c>
      <c r="J259" s="2" t="s">
        <v>313</v>
      </c>
      <c r="K259" s="2"/>
      <c r="L259" s="2"/>
      <c r="M259" s="2"/>
      <c r="N259" s="2">
        <v>255</v>
      </c>
      <c r="O259" s="4">
        <v>87705.53</v>
      </c>
      <c r="P259" s="5">
        <f t="shared" si="6"/>
        <v>0.34394325490196076</v>
      </c>
      <c r="Q259" s="4">
        <f t="shared" ref="Q259:Q274" si="8">O259/F259</f>
        <v>82.236783872480075</v>
      </c>
    </row>
    <row r="260" spans="1:17" x14ac:dyDescent="0.25">
      <c r="A260" s="2" t="s">
        <v>418</v>
      </c>
      <c r="B260" s="2" t="s">
        <v>49</v>
      </c>
      <c r="C260" s="2" t="s">
        <v>49</v>
      </c>
      <c r="D260" s="3">
        <v>75</v>
      </c>
      <c r="E260" s="3">
        <v>15.8</v>
      </c>
      <c r="F260" s="2">
        <v>1185</v>
      </c>
      <c r="G260" s="2"/>
      <c r="H260" s="2">
        <v>5.0999999999999996</v>
      </c>
      <c r="I260" s="2">
        <v>7.86</v>
      </c>
      <c r="J260" s="2" t="s">
        <v>314</v>
      </c>
      <c r="K260" s="2"/>
      <c r="L260" s="2"/>
      <c r="M260" s="2"/>
      <c r="N260" s="2">
        <v>286</v>
      </c>
      <c r="O260" s="4">
        <v>96350.080000000002</v>
      </c>
      <c r="P260" s="5">
        <f t="shared" si="6"/>
        <v>0.33688839160839162</v>
      </c>
      <c r="Q260" s="4">
        <f t="shared" si="8"/>
        <v>81.308084388185662</v>
      </c>
    </row>
    <row r="261" spans="1:17" x14ac:dyDescent="0.25">
      <c r="A261" s="2" t="s">
        <v>419</v>
      </c>
      <c r="B261" s="2" t="s">
        <v>51</v>
      </c>
      <c r="C261" s="2" t="s">
        <v>51</v>
      </c>
      <c r="D261" s="3">
        <v>30</v>
      </c>
      <c r="E261" s="3">
        <v>20.22</v>
      </c>
      <c r="F261" s="2">
        <v>606.59999999999991</v>
      </c>
      <c r="G261" s="2"/>
      <c r="H261" s="2">
        <v>5.73</v>
      </c>
      <c r="I261" s="2">
        <v>9.2899999999999991</v>
      </c>
      <c r="J261" s="2" t="s">
        <v>308</v>
      </c>
      <c r="K261" s="2"/>
      <c r="L261" s="2"/>
      <c r="M261" s="2"/>
      <c r="N261" s="2">
        <v>156</v>
      </c>
      <c r="O261" s="4">
        <v>61600.2</v>
      </c>
      <c r="P261" s="5">
        <f t="shared" si="6"/>
        <v>0.39487307692307688</v>
      </c>
      <c r="Q261" s="4">
        <f t="shared" si="8"/>
        <v>101.54995054401584</v>
      </c>
    </row>
    <row r="262" spans="1:17" x14ac:dyDescent="0.25">
      <c r="A262" s="2" t="s">
        <v>419</v>
      </c>
      <c r="B262" s="2" t="s">
        <v>51</v>
      </c>
      <c r="C262" s="2" t="s">
        <v>51</v>
      </c>
      <c r="D262" s="3">
        <v>37.5</v>
      </c>
      <c r="E262" s="3">
        <v>20.22</v>
      </c>
      <c r="F262" s="2">
        <v>758.25</v>
      </c>
      <c r="G262" s="2"/>
      <c r="H262" s="2">
        <v>5.73</v>
      </c>
      <c r="I262" s="2">
        <v>9.2899999999999991</v>
      </c>
      <c r="J262" s="2" t="s">
        <v>309</v>
      </c>
      <c r="K262" s="2"/>
      <c r="L262" s="2"/>
      <c r="M262" s="2"/>
      <c r="N262" s="2">
        <v>195</v>
      </c>
      <c r="O262" s="4">
        <v>73731.58</v>
      </c>
      <c r="P262" s="5">
        <f t="shared" si="6"/>
        <v>0.37811066666666665</v>
      </c>
      <c r="Q262" s="4">
        <f t="shared" si="8"/>
        <v>97.239142762940986</v>
      </c>
    </row>
    <row r="263" spans="1:17" x14ac:dyDescent="0.25">
      <c r="A263" s="2" t="s">
        <v>419</v>
      </c>
      <c r="B263" s="2" t="s">
        <v>51</v>
      </c>
      <c r="C263" s="2" t="s">
        <v>51</v>
      </c>
      <c r="D263" s="3">
        <v>45</v>
      </c>
      <c r="E263" s="3">
        <v>20.22</v>
      </c>
      <c r="F263" s="2">
        <v>909.9</v>
      </c>
      <c r="G263" s="2"/>
      <c r="H263" s="2">
        <v>5.73</v>
      </c>
      <c r="I263" s="2">
        <v>9.2899999999999991</v>
      </c>
      <c r="J263" s="2" t="s">
        <v>310</v>
      </c>
      <c r="K263" s="2"/>
      <c r="L263" s="2"/>
      <c r="M263" s="2"/>
      <c r="N263" s="2">
        <v>228</v>
      </c>
      <c r="O263" s="4">
        <v>85862.96</v>
      </c>
      <c r="P263" s="5">
        <f t="shared" si="6"/>
        <v>0.37659192982456141</v>
      </c>
      <c r="Q263" s="4">
        <f t="shared" si="8"/>
        <v>94.365270908891091</v>
      </c>
    </row>
    <row r="264" spans="1:17" x14ac:dyDescent="0.25">
      <c r="A264" s="2" t="s">
        <v>419</v>
      </c>
      <c r="B264" s="2" t="s">
        <v>51</v>
      </c>
      <c r="C264" s="2" t="s">
        <v>51</v>
      </c>
      <c r="D264" s="3">
        <v>52.5</v>
      </c>
      <c r="E264" s="3">
        <v>20.22</v>
      </c>
      <c r="F264" s="2">
        <v>1061.55</v>
      </c>
      <c r="G264" s="2"/>
      <c r="H264" s="2">
        <v>5.73</v>
      </c>
      <c r="I264" s="2">
        <v>9.2899999999999991</v>
      </c>
      <c r="J264" s="2" t="s">
        <v>311</v>
      </c>
      <c r="K264" s="2"/>
      <c r="L264" s="2"/>
      <c r="M264" s="2"/>
      <c r="N264" s="2">
        <v>267</v>
      </c>
      <c r="O264" s="4">
        <v>98834.35</v>
      </c>
      <c r="P264" s="5">
        <f t="shared" si="6"/>
        <v>0.37016610486891388</v>
      </c>
      <c r="Q264" s="4">
        <f t="shared" si="8"/>
        <v>93.103810465828275</v>
      </c>
    </row>
    <row r="265" spans="1:17" x14ac:dyDescent="0.25">
      <c r="A265" s="2" t="s">
        <v>419</v>
      </c>
      <c r="B265" s="2" t="s">
        <v>51</v>
      </c>
      <c r="C265" s="2" t="s">
        <v>51</v>
      </c>
      <c r="D265" s="3">
        <v>60</v>
      </c>
      <c r="E265" s="3">
        <v>20.22</v>
      </c>
      <c r="F265" s="2">
        <v>1213.1999999999998</v>
      </c>
      <c r="G265" s="2"/>
      <c r="H265" s="2">
        <v>5.73</v>
      </c>
      <c r="I265" s="2">
        <v>9.2899999999999991</v>
      </c>
      <c r="J265" s="2" t="s">
        <v>312</v>
      </c>
      <c r="K265" s="2"/>
      <c r="L265" s="2"/>
      <c r="M265" s="2"/>
      <c r="N265" s="2">
        <v>306</v>
      </c>
      <c r="O265" s="4">
        <v>110965.73</v>
      </c>
      <c r="P265" s="5">
        <f t="shared" si="6"/>
        <v>0.3626331045751634</v>
      </c>
      <c r="Q265" s="4">
        <f t="shared" si="8"/>
        <v>91.465323112429942</v>
      </c>
    </row>
    <row r="266" spans="1:17" x14ac:dyDescent="0.25">
      <c r="A266" s="2" t="s">
        <v>419</v>
      </c>
      <c r="B266" s="2" t="s">
        <v>51</v>
      </c>
      <c r="C266" s="2" t="s">
        <v>51</v>
      </c>
      <c r="D266" s="3">
        <v>67.5</v>
      </c>
      <c r="E266" s="3">
        <v>20.22</v>
      </c>
      <c r="F266" s="2">
        <v>1364.85</v>
      </c>
      <c r="G266" s="2"/>
      <c r="H266" s="2">
        <v>5.73</v>
      </c>
      <c r="I266" s="2">
        <v>9.2899999999999991</v>
      </c>
      <c r="J266" s="2" t="s">
        <v>313</v>
      </c>
      <c r="K266" s="2"/>
      <c r="L266" s="2"/>
      <c r="M266" s="2"/>
      <c r="N266" s="2">
        <v>340</v>
      </c>
      <c r="O266" s="4">
        <v>123097.11</v>
      </c>
      <c r="P266" s="5">
        <f t="shared" si="6"/>
        <v>0.36205032352941174</v>
      </c>
      <c r="Q266" s="4">
        <f t="shared" si="8"/>
        <v>90.190944059786801</v>
      </c>
    </row>
    <row r="267" spans="1:17" x14ac:dyDescent="0.25">
      <c r="A267" s="2" t="s">
        <v>419</v>
      </c>
      <c r="B267" s="2" t="s">
        <v>51</v>
      </c>
      <c r="C267" s="2" t="s">
        <v>51</v>
      </c>
      <c r="D267" s="3">
        <v>75</v>
      </c>
      <c r="E267" s="3">
        <v>20.22</v>
      </c>
      <c r="F267" s="2">
        <v>1516.5</v>
      </c>
      <c r="G267" s="2"/>
      <c r="H267" s="2">
        <v>5.73</v>
      </c>
      <c r="I267" s="2">
        <v>9.2899999999999991</v>
      </c>
      <c r="J267" s="2" t="s">
        <v>314</v>
      </c>
      <c r="K267" s="2"/>
      <c r="L267" s="2"/>
      <c r="M267" s="2"/>
      <c r="N267" s="2">
        <v>379</v>
      </c>
      <c r="O267" s="4">
        <v>135413.85</v>
      </c>
      <c r="P267" s="5">
        <f t="shared" si="6"/>
        <v>0.35729248021108179</v>
      </c>
      <c r="Q267" s="4">
        <f t="shared" si="8"/>
        <v>89.293669634025719</v>
      </c>
    </row>
    <row r="268" spans="1:17" x14ac:dyDescent="0.25">
      <c r="A268" s="2" t="s">
        <v>420</v>
      </c>
      <c r="B268" s="2" t="s">
        <v>53</v>
      </c>
      <c r="C268" s="2" t="s">
        <v>53</v>
      </c>
      <c r="D268" s="3">
        <v>30</v>
      </c>
      <c r="E268" s="3">
        <v>24.65</v>
      </c>
      <c r="F268" s="2">
        <v>739.5</v>
      </c>
      <c r="G268" s="2"/>
      <c r="H268" s="2">
        <v>5</v>
      </c>
      <c r="I268" s="2">
        <v>9.35</v>
      </c>
      <c r="J268" s="2" t="s">
        <v>308</v>
      </c>
      <c r="K268" s="2"/>
      <c r="L268" s="2"/>
      <c r="M268" s="2"/>
      <c r="N268" s="2">
        <v>184</v>
      </c>
      <c r="O268" s="4">
        <v>68965.929999999993</v>
      </c>
      <c r="P268" s="5">
        <f t="shared" si="6"/>
        <v>0.37481483695652168</v>
      </c>
      <c r="Q268" s="4">
        <f t="shared" si="8"/>
        <v>93.260216362407022</v>
      </c>
    </row>
    <row r="269" spans="1:17" x14ac:dyDescent="0.25">
      <c r="A269" s="2" t="s">
        <v>420</v>
      </c>
      <c r="B269" s="2" t="s">
        <v>53</v>
      </c>
      <c r="C269" s="2" t="s">
        <v>53</v>
      </c>
      <c r="D269" s="3">
        <v>37.5</v>
      </c>
      <c r="E269" s="3">
        <v>24.65</v>
      </c>
      <c r="F269" s="2">
        <v>924.375</v>
      </c>
      <c r="G269" s="2"/>
      <c r="H269" s="2">
        <v>5</v>
      </c>
      <c r="I269" s="2">
        <v>9.35</v>
      </c>
      <c r="J269" s="2" t="s">
        <v>309</v>
      </c>
      <c r="K269" s="2"/>
      <c r="L269" s="2"/>
      <c r="M269" s="2"/>
      <c r="N269" s="2">
        <v>227</v>
      </c>
      <c r="O269" s="4">
        <v>83422.67</v>
      </c>
      <c r="P269" s="5">
        <f t="shared" si="6"/>
        <v>0.3675007488986784</v>
      </c>
      <c r="Q269" s="4">
        <f t="shared" si="8"/>
        <v>90.247648411088576</v>
      </c>
    </row>
    <row r="270" spans="1:17" x14ac:dyDescent="0.25">
      <c r="A270" s="2" t="s">
        <v>420</v>
      </c>
      <c r="B270" s="2" t="s">
        <v>53</v>
      </c>
      <c r="C270" s="2" t="s">
        <v>53</v>
      </c>
      <c r="D270" s="3">
        <v>45</v>
      </c>
      <c r="E270" s="3">
        <v>24.65</v>
      </c>
      <c r="F270" s="2">
        <v>1109.25</v>
      </c>
      <c r="G270" s="2"/>
      <c r="H270" s="2">
        <v>5</v>
      </c>
      <c r="I270" s="2">
        <v>9.35</v>
      </c>
      <c r="J270" s="2" t="s">
        <v>310</v>
      </c>
      <c r="K270" s="2"/>
      <c r="L270" s="2"/>
      <c r="M270" s="2"/>
      <c r="N270" s="2">
        <v>276</v>
      </c>
      <c r="O270" s="4">
        <v>98534.05</v>
      </c>
      <c r="P270" s="5">
        <f t="shared" si="6"/>
        <v>0.35700742753623188</v>
      </c>
      <c r="Q270" s="4">
        <f t="shared" si="8"/>
        <v>88.829434302456619</v>
      </c>
    </row>
    <row r="271" spans="1:17" x14ac:dyDescent="0.25">
      <c r="A271" s="2" t="s">
        <v>420</v>
      </c>
      <c r="B271" s="2" t="s">
        <v>53</v>
      </c>
      <c r="C271" s="2" t="s">
        <v>53</v>
      </c>
      <c r="D271" s="3">
        <v>52.5</v>
      </c>
      <c r="E271" s="3">
        <v>24.65</v>
      </c>
      <c r="F271" s="2">
        <v>1294.125</v>
      </c>
      <c r="G271" s="2"/>
      <c r="H271" s="2">
        <v>5</v>
      </c>
      <c r="I271" s="2">
        <v>9.35</v>
      </c>
      <c r="J271" s="2" t="s">
        <v>311</v>
      </c>
      <c r="K271" s="2"/>
      <c r="L271" s="2"/>
      <c r="M271" s="2"/>
      <c r="N271" s="2">
        <v>317</v>
      </c>
      <c r="O271" s="4">
        <v>112990.78</v>
      </c>
      <c r="P271" s="5">
        <f t="shared" si="6"/>
        <v>0.35643779179810725</v>
      </c>
      <c r="Q271" s="4">
        <f t="shared" si="8"/>
        <v>87.310561189993237</v>
      </c>
    </row>
    <row r="272" spans="1:17" x14ac:dyDescent="0.25">
      <c r="A272" s="2" t="s">
        <v>420</v>
      </c>
      <c r="B272" s="2" t="s">
        <v>53</v>
      </c>
      <c r="C272" s="2" t="s">
        <v>53</v>
      </c>
      <c r="D272" s="3">
        <v>60</v>
      </c>
      <c r="E272" s="3">
        <v>24.65</v>
      </c>
      <c r="F272" s="2">
        <v>1479</v>
      </c>
      <c r="G272" s="2"/>
      <c r="H272" s="2">
        <v>5</v>
      </c>
      <c r="I272" s="2">
        <v>9.35</v>
      </c>
      <c r="J272" s="2" t="s">
        <v>312</v>
      </c>
      <c r="K272" s="2"/>
      <c r="L272" s="2"/>
      <c r="M272" s="2"/>
      <c r="N272" s="2">
        <v>358</v>
      </c>
      <c r="O272" s="4">
        <v>127447.52</v>
      </c>
      <c r="P272" s="5">
        <f t="shared" si="6"/>
        <v>0.3559986592178771</v>
      </c>
      <c r="Q272" s="4">
        <f t="shared" si="8"/>
        <v>86.171413116970925</v>
      </c>
    </row>
    <row r="273" spans="1:17" x14ac:dyDescent="0.25">
      <c r="A273" s="2" t="s">
        <v>420</v>
      </c>
      <c r="B273" s="2" t="s">
        <v>53</v>
      </c>
      <c r="C273" s="2" t="s">
        <v>53</v>
      </c>
      <c r="D273" s="3">
        <v>67.5</v>
      </c>
      <c r="E273" s="3">
        <v>24.65</v>
      </c>
      <c r="F273" s="2">
        <v>1663.875</v>
      </c>
      <c r="G273" s="2"/>
      <c r="H273" s="2">
        <v>5</v>
      </c>
      <c r="I273" s="2">
        <v>9.35</v>
      </c>
      <c r="J273" s="2" t="s">
        <v>313</v>
      </c>
      <c r="K273" s="2"/>
      <c r="L273" s="2"/>
      <c r="M273" s="2"/>
      <c r="N273" s="2">
        <v>398</v>
      </c>
      <c r="O273" s="4">
        <v>141718.89000000001</v>
      </c>
      <c r="P273" s="5">
        <f t="shared" si="6"/>
        <v>0.35607761306532665</v>
      </c>
      <c r="Q273" s="4">
        <f t="shared" si="8"/>
        <v>85.174000450755017</v>
      </c>
    </row>
    <row r="274" spans="1:17" x14ac:dyDescent="0.25">
      <c r="A274" s="2" t="s">
        <v>420</v>
      </c>
      <c r="B274" s="2" t="s">
        <v>53</v>
      </c>
      <c r="C274" s="2" t="s">
        <v>53</v>
      </c>
      <c r="D274" s="3">
        <v>75</v>
      </c>
      <c r="E274" s="3">
        <v>24.65</v>
      </c>
      <c r="F274" s="2">
        <v>1848.75</v>
      </c>
      <c r="G274" s="2"/>
      <c r="H274" s="2">
        <v>5</v>
      </c>
      <c r="I274" s="2">
        <v>9.35</v>
      </c>
      <c r="J274" s="2" t="s">
        <v>314</v>
      </c>
      <c r="K274" s="2"/>
      <c r="L274" s="2"/>
      <c r="M274" s="2"/>
      <c r="N274" s="2">
        <v>450</v>
      </c>
      <c r="O274" s="4">
        <v>156175.63</v>
      </c>
      <c r="P274" s="5">
        <f t="shared" si="6"/>
        <v>0.34705695555555555</v>
      </c>
      <c r="Q274" s="4">
        <f t="shared" si="8"/>
        <v>84.476338066260993</v>
      </c>
    </row>
  </sheetData>
  <conditionalFormatting sqref="P2:P274">
    <cfRule type="colorScale" priority="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25" right="0.25" top="0.75" bottom="0.75" header="0.3" footer="0.3"/>
  <pageSetup scale="68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69FF6-ECCF-4F44-A9DC-0F1B4D873635}">
  <dimension ref="A1:N30"/>
  <sheetViews>
    <sheetView workbookViewId="0">
      <selection activeCell="G22" sqref="G22"/>
    </sheetView>
  </sheetViews>
  <sheetFormatPr baseColWidth="10" defaultColWidth="9.140625" defaultRowHeight="15" x14ac:dyDescent="0.25"/>
  <cols>
    <col min="1" max="2" width="14" bestFit="1" customWidth="1"/>
    <col min="3" max="3" width="9.42578125" bestFit="1" customWidth="1"/>
    <col min="4" max="4" width="11" bestFit="1" customWidth="1"/>
    <col min="5" max="5" width="9.42578125" bestFit="1" customWidth="1"/>
    <col min="6" max="6" width="8.28515625" bestFit="1" customWidth="1"/>
    <col min="7" max="7" width="7.42578125" bestFit="1" customWidth="1"/>
    <col min="10" max="10" width="9.7109375" bestFit="1" customWidth="1"/>
    <col min="11" max="11" width="10.7109375" customWidth="1"/>
    <col min="12" max="12" width="14.5703125" bestFit="1" customWidth="1"/>
    <col min="13" max="13" width="17.28515625" customWidth="1"/>
    <col min="14" max="14" width="18.28515625" customWidth="1"/>
  </cols>
  <sheetData>
    <row r="1" spans="1:14" ht="35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7</v>
      </c>
      <c r="H1" s="1" t="s">
        <v>8</v>
      </c>
      <c r="I1" s="1" t="s">
        <v>331</v>
      </c>
      <c r="J1" s="1" t="s">
        <v>12</v>
      </c>
      <c r="K1" s="1" t="s">
        <v>13</v>
      </c>
      <c r="L1" s="1" t="s">
        <v>324</v>
      </c>
      <c r="M1" s="9" t="s">
        <v>370</v>
      </c>
      <c r="N1" s="9" t="s">
        <v>371</v>
      </c>
    </row>
    <row r="2" spans="1:14" x14ac:dyDescent="0.25">
      <c r="A2" s="2" t="s">
        <v>335</v>
      </c>
      <c r="B2" s="2" t="s">
        <v>343</v>
      </c>
      <c r="C2" s="7">
        <v>52.7</v>
      </c>
      <c r="D2" s="7">
        <v>24.44</v>
      </c>
      <c r="E2" s="6">
        <f>C2*D2</f>
        <v>1287.9880000000001</v>
      </c>
      <c r="F2" s="8">
        <v>4</v>
      </c>
      <c r="G2" s="8">
        <v>4</v>
      </c>
      <c r="H2" s="2">
        <v>7</v>
      </c>
      <c r="I2" s="2">
        <v>7.5</v>
      </c>
      <c r="J2" s="8">
        <v>266.8</v>
      </c>
      <c r="K2" s="4">
        <v>142670.19</v>
      </c>
      <c r="L2" s="5">
        <f t="shared" ref="L2:L30" si="0">K2/(J2*1000)</f>
        <v>0.53474583958020994</v>
      </c>
      <c r="M2" s="10">
        <v>0.5</v>
      </c>
      <c r="N2" s="11" t="s">
        <v>372</v>
      </c>
    </row>
    <row r="3" spans="1:14" x14ac:dyDescent="0.25">
      <c r="A3" s="2" t="s">
        <v>335</v>
      </c>
      <c r="B3" s="2" t="s">
        <v>344</v>
      </c>
      <c r="C3" s="7">
        <v>60.2</v>
      </c>
      <c r="D3" s="7">
        <v>24.44</v>
      </c>
      <c r="E3" s="6">
        <f t="shared" ref="E3:E30" si="1">C3*D3</f>
        <v>1471.2880000000002</v>
      </c>
      <c r="F3" s="8">
        <v>4</v>
      </c>
      <c r="G3" s="8">
        <v>4</v>
      </c>
      <c r="H3" s="2">
        <v>8</v>
      </c>
      <c r="I3" s="2">
        <v>7.5</v>
      </c>
      <c r="J3" s="8">
        <v>303.60000000000002</v>
      </c>
      <c r="K3" s="4">
        <v>163579.35</v>
      </c>
      <c r="L3" s="5">
        <f t="shared" si="0"/>
        <v>0.53879891304347827</v>
      </c>
      <c r="M3" s="10">
        <v>0.5</v>
      </c>
      <c r="N3" s="11" t="s">
        <v>372</v>
      </c>
    </row>
    <row r="4" spans="1:14" x14ac:dyDescent="0.25">
      <c r="A4" s="2" t="s">
        <v>335</v>
      </c>
      <c r="B4" s="2" t="s">
        <v>345</v>
      </c>
      <c r="C4" s="7">
        <v>67.5</v>
      </c>
      <c r="D4" s="7">
        <v>24.44</v>
      </c>
      <c r="E4" s="6">
        <f t="shared" si="1"/>
        <v>1649.7</v>
      </c>
      <c r="F4" s="8">
        <v>4</v>
      </c>
      <c r="G4" s="8">
        <v>4</v>
      </c>
      <c r="H4" s="2">
        <v>9</v>
      </c>
      <c r="I4" s="2">
        <v>7.5</v>
      </c>
      <c r="J4" s="8">
        <v>340.40000000000003</v>
      </c>
      <c r="K4" s="4">
        <v>184293.83</v>
      </c>
      <c r="L4" s="5">
        <f t="shared" si="0"/>
        <v>0.54140373090481775</v>
      </c>
      <c r="M4" s="10">
        <v>0.5</v>
      </c>
      <c r="N4" s="11" t="s">
        <v>372</v>
      </c>
    </row>
    <row r="5" spans="1:14" x14ac:dyDescent="0.25">
      <c r="A5" s="2" t="s">
        <v>336</v>
      </c>
      <c r="B5" s="2" t="s">
        <v>346</v>
      </c>
      <c r="C5" s="7">
        <v>37.340000000000003</v>
      </c>
      <c r="D5" s="7">
        <v>24</v>
      </c>
      <c r="E5" s="6">
        <f t="shared" si="1"/>
        <v>896.16000000000008</v>
      </c>
      <c r="F5" s="8">
        <v>4.3</v>
      </c>
      <c r="G5" s="8">
        <v>5</v>
      </c>
      <c r="H5" s="2">
        <v>6</v>
      </c>
      <c r="I5" s="2">
        <v>6.2</v>
      </c>
      <c r="J5" s="8">
        <v>184</v>
      </c>
      <c r="K5" s="4">
        <v>127695.82</v>
      </c>
      <c r="L5" s="5">
        <f t="shared" si="0"/>
        <v>0.69399902173913053</v>
      </c>
      <c r="M5" s="10">
        <v>1</v>
      </c>
      <c r="N5" s="11" t="s">
        <v>377</v>
      </c>
    </row>
    <row r="6" spans="1:14" x14ac:dyDescent="0.25">
      <c r="A6" s="2" t="s">
        <v>336</v>
      </c>
      <c r="B6" s="2" t="s">
        <v>347</v>
      </c>
      <c r="C6" s="7">
        <v>62</v>
      </c>
      <c r="D6" s="7">
        <v>24</v>
      </c>
      <c r="E6" s="6">
        <f t="shared" si="1"/>
        <v>1488</v>
      </c>
      <c r="F6" s="8">
        <v>4.3</v>
      </c>
      <c r="G6" s="8">
        <v>5</v>
      </c>
      <c r="H6" s="2">
        <v>10</v>
      </c>
      <c r="I6" s="2">
        <v>6.2</v>
      </c>
      <c r="J6" s="8">
        <v>312.8</v>
      </c>
      <c r="K6" s="4">
        <v>214141.37</v>
      </c>
      <c r="L6" s="5">
        <f t="shared" si="0"/>
        <v>0.68459517263427105</v>
      </c>
      <c r="M6" s="10">
        <v>1</v>
      </c>
      <c r="N6" s="11" t="s">
        <v>377</v>
      </c>
    </row>
    <row r="7" spans="1:14" x14ac:dyDescent="0.25">
      <c r="A7" s="2" t="s">
        <v>336</v>
      </c>
      <c r="B7" s="2" t="s">
        <v>348</v>
      </c>
      <c r="C7" s="7">
        <v>68.2</v>
      </c>
      <c r="D7" s="7">
        <v>24</v>
      </c>
      <c r="E7" s="6">
        <f t="shared" si="1"/>
        <v>1636.8000000000002</v>
      </c>
      <c r="F7" s="8">
        <v>4.3</v>
      </c>
      <c r="G7" s="8">
        <v>5</v>
      </c>
      <c r="H7" s="2">
        <v>11</v>
      </c>
      <c r="I7" s="2">
        <v>6.2</v>
      </c>
      <c r="J7" s="8">
        <v>349.6</v>
      </c>
      <c r="K7" s="4">
        <v>234128.38</v>
      </c>
      <c r="L7" s="5">
        <f t="shared" si="0"/>
        <v>0.6697036041189931</v>
      </c>
      <c r="M7" s="10">
        <v>1</v>
      </c>
      <c r="N7" s="11" t="s">
        <v>377</v>
      </c>
    </row>
    <row r="8" spans="1:14" x14ac:dyDescent="0.25">
      <c r="A8" s="2" t="s">
        <v>337</v>
      </c>
      <c r="B8" s="2" t="s">
        <v>349</v>
      </c>
      <c r="C8" s="7">
        <v>52.7</v>
      </c>
      <c r="D8" s="7">
        <v>21.5</v>
      </c>
      <c r="E8" s="6">
        <f t="shared" si="1"/>
        <v>1133.05</v>
      </c>
      <c r="F8" s="8">
        <v>2.5</v>
      </c>
      <c r="G8" s="8">
        <v>2.5</v>
      </c>
      <c r="H8" s="2">
        <v>6</v>
      </c>
      <c r="I8" s="2">
        <v>7.5</v>
      </c>
      <c r="J8" s="8">
        <v>240.12</v>
      </c>
      <c r="K8" s="4">
        <v>111284.23</v>
      </c>
      <c r="L8" s="5">
        <f t="shared" si="0"/>
        <v>0.46345256538397467</v>
      </c>
      <c r="M8" s="10">
        <v>0.5</v>
      </c>
      <c r="N8" s="11" t="s">
        <v>373</v>
      </c>
    </row>
    <row r="9" spans="1:14" x14ac:dyDescent="0.25">
      <c r="A9" s="2" t="s">
        <v>337</v>
      </c>
      <c r="B9" s="2" t="s">
        <v>350</v>
      </c>
      <c r="C9" s="7">
        <v>68</v>
      </c>
      <c r="D9" s="7">
        <v>21.5</v>
      </c>
      <c r="E9" s="6">
        <f t="shared" si="1"/>
        <v>1462</v>
      </c>
      <c r="F9" s="8">
        <v>2.5</v>
      </c>
      <c r="G9" s="8">
        <v>2.5</v>
      </c>
      <c r="H9" s="2">
        <v>9</v>
      </c>
      <c r="I9" s="2">
        <v>7.5</v>
      </c>
      <c r="J9" s="8">
        <v>314.64</v>
      </c>
      <c r="K9" s="4">
        <v>150616.79</v>
      </c>
      <c r="L9" s="5">
        <f t="shared" si="0"/>
        <v>0.47869562039155861</v>
      </c>
      <c r="M9" s="10">
        <v>0.5</v>
      </c>
      <c r="N9" s="11" t="s">
        <v>373</v>
      </c>
    </row>
    <row r="10" spans="1:14" x14ac:dyDescent="0.25">
      <c r="A10" s="2" t="s">
        <v>337</v>
      </c>
      <c r="B10" s="2" t="s">
        <v>351</v>
      </c>
      <c r="C10" s="7">
        <v>90.2</v>
      </c>
      <c r="D10" s="7">
        <v>21.5</v>
      </c>
      <c r="E10" s="6">
        <f t="shared" si="1"/>
        <v>1939.3</v>
      </c>
      <c r="F10" s="8">
        <v>2.5</v>
      </c>
      <c r="G10" s="8">
        <v>2.5</v>
      </c>
      <c r="H10" s="2">
        <v>12</v>
      </c>
      <c r="I10" s="2">
        <v>7.5</v>
      </c>
      <c r="J10" s="8">
        <v>414</v>
      </c>
      <c r="K10" s="4">
        <v>187443.5</v>
      </c>
      <c r="L10" s="5">
        <f t="shared" si="0"/>
        <v>0.45276207729468598</v>
      </c>
      <c r="M10" s="10">
        <v>0.5</v>
      </c>
      <c r="N10" s="11" t="s">
        <v>373</v>
      </c>
    </row>
    <row r="11" spans="1:14" x14ac:dyDescent="0.25">
      <c r="A11" s="2" t="s">
        <v>338</v>
      </c>
      <c r="B11" s="2" t="s">
        <v>352</v>
      </c>
      <c r="C11" s="7">
        <v>37.5</v>
      </c>
      <c r="D11" s="7">
        <v>37.72</v>
      </c>
      <c r="E11" s="6">
        <f t="shared" si="1"/>
        <v>1414.5</v>
      </c>
      <c r="F11" s="8">
        <v>3.89</v>
      </c>
      <c r="G11" s="8">
        <v>3.89</v>
      </c>
      <c r="H11" s="2">
        <v>5</v>
      </c>
      <c r="I11" s="2">
        <v>7.5</v>
      </c>
      <c r="J11" s="8">
        <v>309.12</v>
      </c>
      <c r="K11" s="4">
        <v>160775.91</v>
      </c>
      <c r="L11" s="5">
        <f t="shared" si="0"/>
        <v>0.52010840450310558</v>
      </c>
      <c r="M11" s="10">
        <v>0.5</v>
      </c>
      <c r="N11" s="11" t="s">
        <v>378</v>
      </c>
    </row>
    <row r="12" spans="1:14" x14ac:dyDescent="0.25">
      <c r="A12" s="2" t="s">
        <v>338</v>
      </c>
      <c r="B12" s="2" t="s">
        <v>353</v>
      </c>
      <c r="C12" s="7">
        <v>45</v>
      </c>
      <c r="D12" s="7">
        <v>37.72</v>
      </c>
      <c r="E12" s="6">
        <f t="shared" si="1"/>
        <v>1697.3999999999999</v>
      </c>
      <c r="F12" s="8">
        <v>3.89</v>
      </c>
      <c r="G12" s="8">
        <v>3.89</v>
      </c>
      <c r="H12" s="2">
        <v>6</v>
      </c>
      <c r="I12" s="2">
        <v>7.5</v>
      </c>
      <c r="J12" s="8">
        <v>368</v>
      </c>
      <c r="K12" s="4">
        <v>186710.3</v>
      </c>
      <c r="L12" s="5">
        <f t="shared" si="0"/>
        <v>0.50736494565217383</v>
      </c>
      <c r="M12" s="10">
        <v>0.5</v>
      </c>
      <c r="N12" s="11" t="s">
        <v>378</v>
      </c>
    </row>
    <row r="13" spans="1:14" x14ac:dyDescent="0.25">
      <c r="A13" s="2" t="s">
        <v>338</v>
      </c>
      <c r="B13" s="2" t="s">
        <v>354</v>
      </c>
      <c r="C13" s="7">
        <v>63.2</v>
      </c>
      <c r="D13" s="7">
        <v>37.72</v>
      </c>
      <c r="E13" s="6">
        <f t="shared" si="1"/>
        <v>2383.904</v>
      </c>
      <c r="F13" s="8">
        <v>3.89</v>
      </c>
      <c r="G13" s="8">
        <v>3.89</v>
      </c>
      <c r="H13" s="2">
        <v>8</v>
      </c>
      <c r="I13" s="2">
        <v>7.9</v>
      </c>
      <c r="J13" s="8">
        <v>500</v>
      </c>
      <c r="K13" s="4">
        <v>248278.23</v>
      </c>
      <c r="L13" s="5">
        <f t="shared" si="0"/>
        <v>0.49655646000000003</v>
      </c>
      <c r="M13" s="10">
        <v>0.5</v>
      </c>
      <c r="N13" s="11" t="s">
        <v>378</v>
      </c>
    </row>
    <row r="14" spans="1:14" x14ac:dyDescent="0.25">
      <c r="A14" s="2" t="s">
        <v>339</v>
      </c>
      <c r="B14" s="2" t="s">
        <v>355</v>
      </c>
      <c r="C14" s="7">
        <v>31</v>
      </c>
      <c r="D14" s="7">
        <v>27.95</v>
      </c>
      <c r="E14" s="6">
        <f t="shared" si="1"/>
        <v>866.44999999999993</v>
      </c>
      <c r="F14" s="8">
        <v>4.3</v>
      </c>
      <c r="G14" s="8">
        <v>8.1</v>
      </c>
      <c r="H14" s="2">
        <v>5</v>
      </c>
      <c r="I14" s="2">
        <v>6.2</v>
      </c>
      <c r="J14" s="8">
        <v>179.86</v>
      </c>
      <c r="K14" s="4">
        <v>108779.93</v>
      </c>
      <c r="L14" s="5">
        <f t="shared" si="0"/>
        <v>0.60480334704770378</v>
      </c>
      <c r="M14" s="10">
        <v>0.85</v>
      </c>
      <c r="N14" s="11" t="s">
        <v>375</v>
      </c>
    </row>
    <row r="15" spans="1:14" x14ac:dyDescent="0.25">
      <c r="A15" s="2" t="s">
        <v>339</v>
      </c>
      <c r="B15" s="2" t="s">
        <v>356</v>
      </c>
      <c r="C15" s="7">
        <v>50.6</v>
      </c>
      <c r="D15" s="7">
        <v>27.95</v>
      </c>
      <c r="E15" s="6">
        <f t="shared" si="1"/>
        <v>1414.27</v>
      </c>
      <c r="F15" s="8">
        <v>4.3</v>
      </c>
      <c r="G15" s="8">
        <v>8.1</v>
      </c>
      <c r="H15" s="2">
        <v>8</v>
      </c>
      <c r="I15" s="2">
        <v>6.2</v>
      </c>
      <c r="J15" s="8">
        <v>296.24</v>
      </c>
      <c r="K15" s="4">
        <v>171923.95</v>
      </c>
      <c r="L15" s="5">
        <f t="shared" si="0"/>
        <v>0.58035359843370249</v>
      </c>
      <c r="M15" s="10">
        <v>0.85</v>
      </c>
      <c r="N15" s="11" t="s">
        <v>375</v>
      </c>
    </row>
    <row r="16" spans="1:14" x14ac:dyDescent="0.25">
      <c r="A16" s="2" t="s">
        <v>339</v>
      </c>
      <c r="B16" s="2" t="s">
        <v>357</v>
      </c>
      <c r="C16" s="7">
        <v>60</v>
      </c>
      <c r="D16" s="7">
        <v>27.95</v>
      </c>
      <c r="E16" s="6">
        <f t="shared" si="1"/>
        <v>1677</v>
      </c>
      <c r="F16" s="8">
        <v>4.3</v>
      </c>
      <c r="G16" s="8">
        <v>8.1</v>
      </c>
      <c r="H16" s="2">
        <v>10</v>
      </c>
      <c r="I16" s="2">
        <v>6.2</v>
      </c>
      <c r="J16" s="8">
        <v>349.14000000000004</v>
      </c>
      <c r="K16" s="4">
        <v>205557.72</v>
      </c>
      <c r="L16" s="5">
        <f t="shared" si="0"/>
        <v>0.58875442515896192</v>
      </c>
      <c r="M16" s="10">
        <v>0.85</v>
      </c>
      <c r="N16" s="11" t="s">
        <v>375</v>
      </c>
    </row>
    <row r="17" spans="1:14" x14ac:dyDescent="0.25">
      <c r="A17" s="2" t="s">
        <v>340</v>
      </c>
      <c r="B17" s="2" t="s">
        <v>358</v>
      </c>
      <c r="C17" s="7">
        <v>39.4</v>
      </c>
      <c r="D17" s="7">
        <v>17.440000000000001</v>
      </c>
      <c r="E17" s="6">
        <f t="shared" si="1"/>
        <v>687.13600000000008</v>
      </c>
      <c r="F17" s="8">
        <v>3.8</v>
      </c>
      <c r="G17" s="8">
        <v>5.7</v>
      </c>
      <c r="H17" s="2">
        <v>6</v>
      </c>
      <c r="I17" s="2">
        <v>6.4</v>
      </c>
      <c r="J17" s="8">
        <v>161.92000000000002</v>
      </c>
      <c r="K17" s="4">
        <v>94493.86</v>
      </c>
      <c r="L17" s="5">
        <f t="shared" si="0"/>
        <v>0.5835836215415019</v>
      </c>
      <c r="M17" s="10">
        <v>0.8</v>
      </c>
      <c r="N17" s="11" t="s">
        <v>373</v>
      </c>
    </row>
    <row r="18" spans="1:14" x14ac:dyDescent="0.25">
      <c r="A18" s="2" t="s">
        <v>340</v>
      </c>
      <c r="B18" s="2" t="s">
        <v>359</v>
      </c>
      <c r="C18" s="7">
        <v>64.5</v>
      </c>
      <c r="D18" s="7">
        <v>17.440000000000001</v>
      </c>
      <c r="E18" s="6">
        <f t="shared" si="1"/>
        <v>1124.8800000000001</v>
      </c>
      <c r="F18" s="8">
        <v>3.8</v>
      </c>
      <c r="G18" s="8">
        <v>5.7</v>
      </c>
      <c r="H18" s="2">
        <v>10</v>
      </c>
      <c r="I18" s="2">
        <v>6.4</v>
      </c>
      <c r="J18" s="8">
        <v>264.95999999999998</v>
      </c>
      <c r="K18" s="4">
        <v>154716.49</v>
      </c>
      <c r="L18" s="5">
        <f t="shared" si="0"/>
        <v>0.58392395078502413</v>
      </c>
      <c r="M18" s="10">
        <v>0.8</v>
      </c>
      <c r="N18" s="11" t="s">
        <v>373</v>
      </c>
    </row>
    <row r="19" spans="1:14" x14ac:dyDescent="0.25">
      <c r="A19" s="2" t="s">
        <v>340</v>
      </c>
      <c r="B19" s="2" t="s">
        <v>360</v>
      </c>
      <c r="C19" s="7">
        <v>83.2</v>
      </c>
      <c r="D19" s="7">
        <v>17.440000000000001</v>
      </c>
      <c r="E19" s="6">
        <f t="shared" si="1"/>
        <v>1451.0080000000003</v>
      </c>
      <c r="F19" s="8">
        <v>3.8</v>
      </c>
      <c r="G19" s="8">
        <v>5.7</v>
      </c>
      <c r="H19" s="2">
        <v>13</v>
      </c>
      <c r="I19" s="2">
        <v>6.4</v>
      </c>
      <c r="J19" s="8">
        <v>338.56</v>
      </c>
      <c r="K19" s="4">
        <v>191437.97</v>
      </c>
      <c r="L19" s="5">
        <f t="shared" si="0"/>
        <v>0.56544769021739127</v>
      </c>
      <c r="M19" s="10">
        <v>0.8</v>
      </c>
      <c r="N19" s="11" t="s">
        <v>373</v>
      </c>
    </row>
    <row r="20" spans="1:14" x14ac:dyDescent="0.25">
      <c r="A20" s="2" t="s">
        <v>341</v>
      </c>
      <c r="B20" s="2" t="s">
        <v>361</v>
      </c>
      <c r="C20" s="7">
        <v>36</v>
      </c>
      <c r="D20" s="7">
        <v>19.84</v>
      </c>
      <c r="E20" s="6">
        <f t="shared" si="1"/>
        <v>714.24</v>
      </c>
      <c r="F20" s="8">
        <v>3.39</v>
      </c>
      <c r="G20" s="8">
        <v>7.23</v>
      </c>
      <c r="H20" s="2">
        <v>6</v>
      </c>
      <c r="I20" s="2">
        <v>6</v>
      </c>
      <c r="J20" s="8">
        <v>156.4</v>
      </c>
      <c r="K20" s="4">
        <v>95212.32</v>
      </c>
      <c r="L20" s="5">
        <f t="shared" si="0"/>
        <v>0.60877442455242969</v>
      </c>
      <c r="M20" s="10">
        <v>1</v>
      </c>
      <c r="N20" s="11" t="s">
        <v>379</v>
      </c>
    </row>
    <row r="21" spans="1:14" x14ac:dyDescent="0.25">
      <c r="A21" s="2" t="s">
        <v>341</v>
      </c>
      <c r="B21" s="2" t="s">
        <v>362</v>
      </c>
      <c r="C21" s="7">
        <v>60</v>
      </c>
      <c r="D21" s="7">
        <v>19.84</v>
      </c>
      <c r="E21" s="6">
        <f t="shared" si="1"/>
        <v>1190.4000000000001</v>
      </c>
      <c r="F21" s="8">
        <v>3.39</v>
      </c>
      <c r="G21" s="8">
        <v>7.23</v>
      </c>
      <c r="H21" s="2">
        <v>10</v>
      </c>
      <c r="I21" s="2">
        <v>6</v>
      </c>
      <c r="J21" s="8">
        <v>258.06</v>
      </c>
      <c r="K21" s="4">
        <v>157126.47</v>
      </c>
      <c r="L21" s="5">
        <f t="shared" si="0"/>
        <v>0.60887572657521505</v>
      </c>
      <c r="M21" s="10">
        <v>1</v>
      </c>
      <c r="N21" s="11" t="s">
        <v>379</v>
      </c>
    </row>
    <row r="22" spans="1:14" x14ac:dyDescent="0.25">
      <c r="A22" s="2" t="s">
        <v>341</v>
      </c>
      <c r="B22" s="2" t="s">
        <v>363</v>
      </c>
      <c r="C22" s="7">
        <v>78</v>
      </c>
      <c r="D22" s="7">
        <v>19.84</v>
      </c>
      <c r="E22" s="6">
        <f t="shared" si="1"/>
        <v>1547.52</v>
      </c>
      <c r="F22" s="8">
        <v>3.39</v>
      </c>
      <c r="G22" s="8">
        <v>7.23</v>
      </c>
      <c r="H22" s="2">
        <v>13</v>
      </c>
      <c r="I22" s="2">
        <v>6</v>
      </c>
      <c r="J22" s="8">
        <v>336.26</v>
      </c>
      <c r="K22" s="4">
        <v>196601.54</v>
      </c>
      <c r="L22" s="5">
        <f t="shared" si="0"/>
        <v>0.58467120680425866</v>
      </c>
      <c r="M22" s="10">
        <v>1</v>
      </c>
      <c r="N22" s="11" t="s">
        <v>379</v>
      </c>
    </row>
    <row r="23" spans="1:14" x14ac:dyDescent="0.25">
      <c r="A23" s="2" t="s">
        <v>342</v>
      </c>
      <c r="B23" s="2" t="s">
        <v>364</v>
      </c>
      <c r="C23" s="7">
        <v>43.2</v>
      </c>
      <c r="D23" s="7">
        <v>27.32</v>
      </c>
      <c r="E23" s="6">
        <f t="shared" si="1"/>
        <v>1180.2240000000002</v>
      </c>
      <c r="F23" s="8">
        <v>4</v>
      </c>
      <c r="G23" s="8">
        <v>5.63</v>
      </c>
      <c r="H23" s="2">
        <v>6</v>
      </c>
      <c r="I23" s="2">
        <v>7.2</v>
      </c>
      <c r="J23" s="8">
        <v>242.88</v>
      </c>
      <c r="K23" s="4">
        <v>130706.64</v>
      </c>
      <c r="L23" s="5">
        <f t="shared" si="0"/>
        <v>0.53815316205533592</v>
      </c>
      <c r="M23" s="10">
        <v>0.7</v>
      </c>
      <c r="N23" s="11" t="s">
        <v>375</v>
      </c>
    </row>
    <row r="24" spans="1:14" x14ac:dyDescent="0.25">
      <c r="A24" s="2" t="s">
        <v>342</v>
      </c>
      <c r="B24" s="2" t="s">
        <v>365</v>
      </c>
      <c r="C24" s="7">
        <v>57.6</v>
      </c>
      <c r="D24" s="7">
        <v>27.32</v>
      </c>
      <c r="E24" s="6">
        <f t="shared" si="1"/>
        <v>1573.6320000000001</v>
      </c>
      <c r="F24" s="8">
        <v>4</v>
      </c>
      <c r="G24" s="8">
        <v>5.63</v>
      </c>
      <c r="H24" s="2">
        <v>8</v>
      </c>
      <c r="I24" s="2">
        <v>7.2</v>
      </c>
      <c r="J24" s="8">
        <v>323.84000000000003</v>
      </c>
      <c r="K24" s="4">
        <v>170601.11</v>
      </c>
      <c r="L24" s="5">
        <f t="shared" si="0"/>
        <v>0.5268067873023714</v>
      </c>
      <c r="M24" s="10">
        <v>0.7</v>
      </c>
      <c r="N24" s="11" t="s">
        <v>375</v>
      </c>
    </row>
    <row r="25" spans="1:14" x14ac:dyDescent="0.25">
      <c r="A25" s="2" t="s">
        <v>342</v>
      </c>
      <c r="B25" s="2" t="s">
        <v>366</v>
      </c>
      <c r="C25" s="7">
        <v>86.6</v>
      </c>
      <c r="D25" s="7">
        <v>27.32</v>
      </c>
      <c r="E25" s="6">
        <f t="shared" si="1"/>
        <v>2365.9119999999998</v>
      </c>
      <c r="F25" s="8">
        <v>4</v>
      </c>
      <c r="G25" s="8">
        <v>5.63</v>
      </c>
      <c r="H25" s="2">
        <v>12</v>
      </c>
      <c r="I25" s="2">
        <v>7.2</v>
      </c>
      <c r="J25" s="8">
        <v>485.76</v>
      </c>
      <c r="K25" s="4">
        <v>245280.97</v>
      </c>
      <c r="L25" s="5">
        <f t="shared" si="0"/>
        <v>0.50494270833333332</v>
      </c>
      <c r="M25" s="10">
        <v>0.7</v>
      </c>
      <c r="N25" s="11" t="s">
        <v>375</v>
      </c>
    </row>
    <row r="26" spans="1:14" x14ac:dyDescent="0.25">
      <c r="A26" s="2" t="s">
        <v>332</v>
      </c>
      <c r="B26" s="2" t="s">
        <v>367</v>
      </c>
      <c r="C26" s="7">
        <v>37.5</v>
      </c>
      <c r="D26" s="7">
        <v>31.6</v>
      </c>
      <c r="E26" s="6">
        <f t="shared" si="1"/>
        <v>1185</v>
      </c>
      <c r="F26" s="8">
        <v>3.7</v>
      </c>
      <c r="G26" s="8">
        <v>7.5</v>
      </c>
      <c r="H26" s="2">
        <v>6</v>
      </c>
      <c r="I26" s="2">
        <v>7.5</v>
      </c>
      <c r="J26" s="8">
        <v>251.16</v>
      </c>
      <c r="K26" s="4">
        <v>137256.35</v>
      </c>
      <c r="L26" s="5">
        <f t="shared" si="0"/>
        <v>0.54648968784838348</v>
      </c>
      <c r="M26" s="10">
        <v>0.7</v>
      </c>
      <c r="N26" s="11" t="s">
        <v>374</v>
      </c>
    </row>
    <row r="27" spans="1:14" x14ac:dyDescent="0.25">
      <c r="A27" s="2" t="s">
        <v>332</v>
      </c>
      <c r="B27" s="2" t="s">
        <v>368</v>
      </c>
      <c r="C27" s="7">
        <v>52.5</v>
      </c>
      <c r="D27" s="7">
        <v>31.6</v>
      </c>
      <c r="E27" s="6">
        <f t="shared" si="1"/>
        <v>1659</v>
      </c>
      <c r="F27" s="8">
        <v>3.7</v>
      </c>
      <c r="G27" s="8">
        <v>7.5</v>
      </c>
      <c r="H27" s="2">
        <v>7</v>
      </c>
      <c r="I27" s="2">
        <v>7.5</v>
      </c>
      <c r="J27" s="8">
        <v>346.84000000000003</v>
      </c>
      <c r="K27" s="4">
        <v>172873.31</v>
      </c>
      <c r="L27" s="5">
        <f t="shared" si="0"/>
        <v>0.49842379771652628</v>
      </c>
      <c r="M27" s="10">
        <v>0.7</v>
      </c>
      <c r="N27" s="11" t="s">
        <v>374</v>
      </c>
    </row>
    <row r="28" spans="1:14" x14ac:dyDescent="0.25">
      <c r="A28" s="2" t="s">
        <v>332</v>
      </c>
      <c r="B28" s="2" t="s">
        <v>369</v>
      </c>
      <c r="C28" s="7">
        <v>75</v>
      </c>
      <c r="D28" s="7">
        <v>31.6</v>
      </c>
      <c r="E28" s="6">
        <f t="shared" si="1"/>
        <v>2370</v>
      </c>
      <c r="F28" s="8">
        <v>3.7</v>
      </c>
      <c r="G28" s="8">
        <v>7.5</v>
      </c>
      <c r="H28" s="2">
        <v>10</v>
      </c>
      <c r="I28" s="2">
        <v>7.5</v>
      </c>
      <c r="J28" s="8">
        <v>500</v>
      </c>
      <c r="K28" s="4">
        <v>258833.01</v>
      </c>
      <c r="L28" s="5">
        <f t="shared" si="0"/>
        <v>0.51766602000000006</v>
      </c>
      <c r="M28" s="10">
        <v>0.7</v>
      </c>
      <c r="N28" s="11" t="s">
        <v>374</v>
      </c>
    </row>
    <row r="29" spans="1:14" x14ac:dyDescent="0.25">
      <c r="A29" s="2" t="s">
        <v>333</v>
      </c>
      <c r="B29" s="2" t="s">
        <v>329</v>
      </c>
      <c r="C29" s="7">
        <v>65</v>
      </c>
      <c r="D29" s="7">
        <v>29.5</v>
      </c>
      <c r="E29" s="6">
        <f t="shared" si="1"/>
        <v>1917.5</v>
      </c>
      <c r="F29" s="8">
        <v>3.83</v>
      </c>
      <c r="G29" s="8">
        <v>9.41</v>
      </c>
      <c r="H29" s="2">
        <v>7.1</v>
      </c>
      <c r="I29" s="2">
        <v>9</v>
      </c>
      <c r="J29" s="8">
        <v>500</v>
      </c>
      <c r="K29" s="4">
        <v>260705.49</v>
      </c>
      <c r="L29" s="5">
        <f t="shared" si="0"/>
        <v>0.52141097999999997</v>
      </c>
      <c r="M29" s="10">
        <v>0.55000000000000004</v>
      </c>
      <c r="N29" s="11" t="s">
        <v>376</v>
      </c>
    </row>
    <row r="30" spans="1:14" x14ac:dyDescent="0.25">
      <c r="A30" s="2" t="s">
        <v>334</v>
      </c>
      <c r="B30" s="2" t="s">
        <v>330</v>
      </c>
      <c r="C30" s="7">
        <v>45</v>
      </c>
      <c r="D30" s="7">
        <v>29.5</v>
      </c>
      <c r="E30" s="6">
        <f t="shared" si="1"/>
        <v>1327.5</v>
      </c>
      <c r="F30" s="8">
        <v>3.83</v>
      </c>
      <c r="G30" s="8">
        <v>9.41</v>
      </c>
      <c r="H30" s="2">
        <v>6</v>
      </c>
      <c r="I30" s="2">
        <v>7.3</v>
      </c>
      <c r="J30" s="8">
        <v>356.5</v>
      </c>
      <c r="K30" s="4">
        <v>204443.03</v>
      </c>
      <c r="L30" s="5">
        <f t="shared" si="0"/>
        <v>0.5734727349228611</v>
      </c>
      <c r="M30" s="10">
        <v>0.55000000000000004</v>
      </c>
      <c r="N30" s="11" t="s">
        <v>376</v>
      </c>
    </row>
  </sheetData>
  <conditionalFormatting sqref="L2:L30">
    <cfRule type="colorScale" priority="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BARCONNIERE</vt:lpstr>
      <vt:lpstr>ACAMA</vt:lpstr>
      <vt:lpstr>BARCONNIERE!Zone_d_impression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YANN</dc:creator>
  <cp:lastModifiedBy>Yann BARBERIS ENR COURTAGE</cp:lastModifiedBy>
  <cp:lastPrinted>2025-11-09T10:13:20Z</cp:lastPrinted>
  <dcterms:created xsi:type="dcterms:W3CDTF">2025-11-09T09:54:13Z</dcterms:created>
  <dcterms:modified xsi:type="dcterms:W3CDTF">2026-08-20T09:39:59Z</dcterms:modified>
</cp:coreProperties>
</file>